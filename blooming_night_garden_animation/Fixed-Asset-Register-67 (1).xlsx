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รายงาน 2567 (รุด)\11.การบริหารพัสดุ\New folder\"/>
    </mc:Choice>
  </mc:AlternateContent>
  <bookViews>
    <workbookView xWindow="0" yWindow="0" windowWidth="20490" windowHeight="7515" activeTab="1"/>
  </bookViews>
  <sheets>
    <sheet name="ตัวอย่าง" sheetId="2" r:id="rId1"/>
    <sheet name="001-อาคาร ศสข.4(นม)" sheetId="23" r:id="rId2"/>
    <sheet name="001-2" sheetId="24" r:id="rId3"/>
    <sheet name="002" sheetId="3" r:id="rId4"/>
    <sheet name="002-2" sheetId="25" r:id="rId5"/>
    <sheet name="003" sheetId="4" r:id="rId6"/>
    <sheet name="004" sheetId="5" r:id="rId7"/>
    <sheet name="005" sheetId="6" r:id="rId8"/>
    <sheet name="006" sheetId="7" r:id="rId9"/>
    <sheet name="007-รถยนต์" sheetId="8" r:id="rId10"/>
    <sheet name="007-2" sheetId="26" r:id="rId11"/>
    <sheet name="008" sheetId="9" r:id="rId12"/>
    <sheet name="008-2" sheetId="27" r:id="rId13"/>
    <sheet name="009" sheetId="10" r:id="rId14"/>
    <sheet name="009-2" sheetId="28" r:id="rId15"/>
    <sheet name="010" sheetId="11" r:id="rId16"/>
    <sheet name="010-2" sheetId="29" r:id="rId17"/>
    <sheet name="011-Gen" sheetId="12" r:id="rId18"/>
    <sheet name="012" sheetId="13" r:id="rId19"/>
    <sheet name="012-2" sheetId="30" r:id="rId20"/>
    <sheet name="013-วิทยุ" sheetId="14" r:id="rId21"/>
    <sheet name="014" sheetId="15" r:id="rId22"/>
    <sheet name="015" sheetId="16" r:id="rId23"/>
    <sheet name="016-คอม" sheetId="17" r:id="rId24"/>
    <sheet name="017" sheetId="18" r:id="rId25"/>
    <sheet name="018-AIR" sheetId="19" r:id="rId26"/>
    <sheet name="019" sheetId="20" r:id="rId27"/>
    <sheet name="020" sheetId="21" r:id="rId28"/>
    <sheet name="021" sheetId="22" r:id="rId2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29" l="1"/>
  <c r="D32" i="28"/>
  <c r="D12" i="28"/>
  <c r="D11" i="27"/>
  <c r="K12" i="11" l="1"/>
  <c r="J23" i="8"/>
  <c r="J24" i="8"/>
  <c r="J25" i="8"/>
  <c r="J26" i="8"/>
  <c r="J27" i="8" s="1"/>
  <c r="J28" i="8" s="1"/>
  <c r="J29" i="8" s="1"/>
  <c r="J22" i="8"/>
  <c r="J21" i="8"/>
  <c r="J20" i="8"/>
  <c r="J17" i="8"/>
  <c r="I17" i="8"/>
  <c r="J27" i="3" l="1"/>
  <c r="J21" i="23"/>
  <c r="J19" i="23"/>
  <c r="J16" i="23"/>
  <c r="J20" i="3"/>
  <c r="J17" i="3"/>
  <c r="K23" i="10" l="1"/>
  <c r="K19" i="10"/>
  <c r="J22" i="23" l="1"/>
  <c r="K21" i="8"/>
  <c r="I31" i="23" l="1"/>
  <c r="I30" i="23"/>
  <c r="I13" i="23"/>
  <c r="J13" i="23" s="1"/>
  <c r="J14" i="23" s="1"/>
  <c r="J15" i="23" s="1"/>
  <c r="K12" i="23"/>
  <c r="I15" i="18" l="1"/>
  <c r="K14" i="18"/>
  <c r="K15" i="18" s="1"/>
  <c r="I14" i="18"/>
  <c r="J14" i="18" s="1"/>
  <c r="K13" i="18"/>
  <c r="I15" i="17"/>
  <c r="I14" i="17"/>
  <c r="K13" i="17"/>
  <c r="I15" i="16"/>
  <c r="I14" i="16"/>
  <c r="I16" i="16" s="1"/>
  <c r="K13" i="16"/>
  <c r="K14" i="16" s="1"/>
  <c r="I15" i="15"/>
  <c r="I14" i="15"/>
  <c r="I16" i="15" s="1"/>
  <c r="K13" i="15"/>
  <c r="K14" i="15" s="1"/>
  <c r="K15" i="15" s="1"/>
  <c r="I14" i="14"/>
  <c r="I13" i="14"/>
  <c r="K12" i="14"/>
  <c r="I16" i="13"/>
  <c r="I18" i="13" s="1"/>
  <c r="I22" i="13" s="1"/>
  <c r="I15" i="13"/>
  <c r="I17" i="13" s="1"/>
  <c r="K12" i="13"/>
  <c r="K19" i="12"/>
  <c r="K20" i="12" s="1"/>
  <c r="K21" i="12" s="1"/>
  <c r="K22" i="12" s="1"/>
  <c r="K23" i="12" s="1"/>
  <c r="K24" i="12" s="1"/>
  <c r="I15" i="12"/>
  <c r="I17" i="12" s="1"/>
  <c r="I23" i="12" s="1"/>
  <c r="I25" i="12" s="1"/>
  <c r="I14" i="12"/>
  <c r="I16" i="12" s="1"/>
  <c r="I18" i="12" s="1"/>
  <c r="I20" i="12" s="1"/>
  <c r="I22" i="12" s="1"/>
  <c r="I13" i="12"/>
  <c r="J13" i="12" s="1"/>
  <c r="K12" i="12"/>
  <c r="J13" i="11"/>
  <c r="I14" i="10"/>
  <c r="I16" i="10" s="1"/>
  <c r="I13" i="10"/>
  <c r="I15" i="10" s="1"/>
  <c r="K12" i="10"/>
  <c r="J14" i="11" l="1"/>
  <c r="J23" i="23"/>
  <c r="J15" i="18"/>
  <c r="J14" i="17"/>
  <c r="J15" i="17" s="1"/>
  <c r="K14" i="17"/>
  <c r="K15" i="17" s="1"/>
  <c r="K15" i="16"/>
  <c r="K16" i="16" s="1"/>
  <c r="J14" i="16"/>
  <c r="J15" i="16" s="1"/>
  <c r="J16" i="16" s="1"/>
  <c r="K16" i="15"/>
  <c r="J14" i="15"/>
  <c r="J15" i="15" s="1"/>
  <c r="J16" i="15" s="1"/>
  <c r="K13" i="14"/>
  <c r="K14" i="14" s="1"/>
  <c r="K15" i="14"/>
  <c r="J13" i="14"/>
  <c r="J14" i="14" s="1"/>
  <c r="J15" i="14" s="1"/>
  <c r="I15" i="14"/>
  <c r="J13" i="13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K13" i="13"/>
  <c r="K14" i="13" s="1"/>
  <c r="K15" i="13" s="1"/>
  <c r="K13" i="12"/>
  <c r="K14" i="12" s="1"/>
  <c r="K15" i="12" s="1"/>
  <c r="K16" i="12" s="1"/>
  <c r="K17" i="12" s="1"/>
  <c r="K18" i="12" s="1"/>
  <c r="J14" i="12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K13" i="11"/>
  <c r="K17" i="11" s="1"/>
  <c r="K13" i="10"/>
  <c r="K14" i="10" s="1"/>
  <c r="K15" i="10" s="1"/>
  <c r="K16" i="10" s="1"/>
  <c r="J13" i="10"/>
  <c r="J14" i="10" s="1"/>
  <c r="J15" i="10" s="1"/>
  <c r="J16" i="10" s="1"/>
  <c r="J17" i="10" s="1"/>
  <c r="J18" i="10" s="1"/>
  <c r="J19" i="10" s="1"/>
  <c r="J20" i="10" s="1"/>
  <c r="J21" i="10" s="1"/>
  <c r="J22" i="10" s="1"/>
  <c r="I27" i="8"/>
  <c r="I29" i="8" s="1"/>
  <c r="J14" i="8"/>
  <c r="K13" i="8"/>
  <c r="I14" i="7"/>
  <c r="I16" i="7" s="1"/>
  <c r="I18" i="7" s="1"/>
  <c r="I15" i="7"/>
  <c r="I17" i="7"/>
  <c r="I13" i="7"/>
  <c r="J13" i="7" s="1"/>
  <c r="K12" i="7"/>
  <c r="I13" i="6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K12" i="6"/>
  <c r="K13" i="5"/>
  <c r="K14" i="5" s="1"/>
  <c r="K15" i="5" s="1"/>
  <c r="K16" i="5" s="1"/>
  <c r="K17" i="5" s="1"/>
  <c r="K18" i="5" s="1"/>
  <c r="K19" i="5" s="1"/>
  <c r="K20" i="5" s="1"/>
  <c r="K21" i="5" s="1"/>
  <c r="J13" i="5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I13" i="5"/>
  <c r="K12" i="5"/>
  <c r="K13" i="4"/>
  <c r="K14" i="4" s="1"/>
  <c r="K15" i="4" s="1"/>
  <c r="K16" i="4" s="1"/>
  <c r="K17" i="4" s="1"/>
  <c r="K18" i="4" s="1"/>
  <c r="K19" i="4" s="1"/>
  <c r="K20" i="4" s="1"/>
  <c r="K21" i="4" s="1"/>
  <c r="J13" i="4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I13" i="4"/>
  <c r="K12" i="4"/>
  <c r="I13" i="3"/>
  <c r="J13" i="3" s="1"/>
  <c r="K12" i="3"/>
  <c r="I25" i="2"/>
  <c r="I27" i="2" s="1"/>
  <c r="I29" i="2" s="1"/>
  <c r="I31" i="2" s="1"/>
  <c r="I23" i="2"/>
  <c r="I22" i="2"/>
  <c r="I24" i="2" s="1"/>
  <c r="I26" i="2" s="1"/>
  <c r="I28" i="2" s="1"/>
  <c r="I30" i="2" s="1"/>
  <c r="I32" i="2" s="1"/>
  <c r="I19" i="2"/>
  <c r="J19" i="2" s="1"/>
  <c r="J20" i="2" s="1"/>
  <c r="J21" i="2" s="1"/>
  <c r="J22" i="2" s="1"/>
  <c r="J23" i="2" s="1"/>
  <c r="J24" i="2" s="1"/>
  <c r="J25" i="2" s="1"/>
  <c r="J26" i="2" s="1"/>
  <c r="K18" i="2"/>
  <c r="K19" i="2" s="1"/>
  <c r="K20" i="2" s="1"/>
  <c r="K21" i="2" s="1"/>
  <c r="K22" i="2" s="1"/>
  <c r="K23" i="2" s="1"/>
  <c r="K24" i="2" s="1"/>
  <c r="K25" i="2" s="1"/>
  <c r="K26" i="2" s="1"/>
  <c r="K27" i="2" s="1"/>
  <c r="J24" i="23" l="1"/>
  <c r="J26" i="23" s="1"/>
  <c r="K21" i="3"/>
  <c r="K22" i="3" s="1"/>
  <c r="K23" i="3" s="1"/>
  <c r="J23" i="10"/>
  <c r="J24" i="10" s="1"/>
  <c r="J25" i="10" s="1"/>
  <c r="K16" i="13"/>
  <c r="K17" i="13" s="1"/>
  <c r="K18" i="13" s="1"/>
  <c r="K21" i="13" s="1"/>
  <c r="K22" i="13" s="1"/>
  <c r="K21" i="23"/>
  <c r="K22" i="23" s="1"/>
  <c r="K23" i="23" s="1"/>
  <c r="K26" i="23" s="1"/>
  <c r="K29" i="23" s="1"/>
  <c r="K30" i="23" s="1"/>
  <c r="K31" i="23" s="1"/>
  <c r="J15" i="11"/>
  <c r="J16" i="11" s="1"/>
  <c r="J17" i="11" s="1"/>
  <c r="J18" i="11" s="1"/>
  <c r="J19" i="11" s="1"/>
  <c r="J20" i="11" s="1"/>
  <c r="J21" i="11" s="1"/>
  <c r="J22" i="11" s="1"/>
  <c r="I16" i="8"/>
  <c r="I22" i="8" s="1"/>
  <c r="J15" i="8"/>
  <c r="K14" i="8"/>
  <c r="J14" i="7"/>
  <c r="J15" i="7" s="1"/>
  <c r="J16" i="7" s="1"/>
  <c r="J17" i="7" s="1"/>
  <c r="J18" i="7" s="1"/>
  <c r="K13" i="7"/>
  <c r="K14" i="7" s="1"/>
  <c r="K15" i="7" s="1"/>
  <c r="K16" i="7" s="1"/>
  <c r="K17" i="7" s="1"/>
  <c r="K18" i="7" s="1"/>
  <c r="K13" i="6"/>
  <c r="K14" i="6" s="1"/>
  <c r="K15" i="6" s="1"/>
  <c r="K16" i="6" s="1"/>
  <c r="K17" i="6" s="1"/>
  <c r="K18" i="6" s="1"/>
  <c r="K19" i="6" s="1"/>
  <c r="K20" i="6" s="1"/>
  <c r="K21" i="6" s="1"/>
  <c r="J14" i="3"/>
  <c r="J15" i="3" s="1"/>
  <c r="J16" i="3" s="1"/>
  <c r="J21" i="3" s="1"/>
  <c r="J22" i="3" s="1"/>
  <c r="J23" i="3" s="1"/>
  <c r="J24" i="3" s="1"/>
  <c r="J25" i="3" s="1"/>
  <c r="J26" i="3" s="1"/>
  <c r="J27" i="2"/>
  <c r="J28" i="2" s="1"/>
  <c r="J29" i="2" s="1"/>
  <c r="J30" i="2" s="1"/>
  <c r="J27" i="23" l="1"/>
  <c r="J29" i="23" s="1"/>
  <c r="J30" i="23" s="1"/>
  <c r="J31" i="23" s="1"/>
  <c r="I26" i="8"/>
  <c r="I28" i="8" s="1"/>
  <c r="K22" i="8"/>
  <c r="K25" i="8" s="1"/>
  <c r="J16" i="8"/>
  <c r="K26" i="8" l="1"/>
  <c r="K27" i="8" s="1"/>
  <c r="K28" i="8" s="1"/>
  <c r="K29" i="8" s="1"/>
</calcChain>
</file>

<file path=xl/sharedStrings.xml><?xml version="1.0" encoding="utf-8"?>
<sst xmlns="http://schemas.openxmlformats.org/spreadsheetml/2006/main" count="1576" uniqueCount="341">
  <si>
    <t>ประเภท ...............................................................</t>
  </si>
  <si>
    <t>รหัส ......................................</t>
  </si>
  <si>
    <t>ลักษณะ / คุณสมบัติ ...............................................................</t>
  </si>
  <si>
    <t>ชื่อผู้ขาย / ผู้รับจ้าง / ผู้บริจาค ...............................................</t>
  </si>
  <si>
    <t>สถานที่ตั้ง / หน่วยงานที่รับผิดชอบ.................................................................................................</t>
  </si>
  <si>
    <t>ที่อยู่ .................................................................................................................................................</t>
  </si>
  <si>
    <t>โทรศัพท์ ..................................................................................</t>
  </si>
  <si>
    <t>ประเภทเงิน</t>
  </si>
  <si>
    <t>(   ) เงินงบประมาณ</t>
  </si>
  <si>
    <t>(   ) เงินนอกงบประมาณ</t>
  </si>
  <si>
    <t>(   ) เงินบริจาค / เงินช่วยเหลือ</t>
  </si>
  <si>
    <t>(   ) อื่นๆ</t>
  </si>
  <si>
    <t>วิธีการได้มา</t>
  </si>
  <si>
    <t>(   ) ตกลงราคา</t>
  </si>
  <si>
    <t>(   ) สอบราคา</t>
  </si>
  <si>
    <t>(   ) ประกวดราคา</t>
  </si>
  <si>
    <t>(   ) รับบริจาค</t>
  </si>
  <si>
    <t>วัน เดือน ปี</t>
  </si>
  <si>
    <t>ที่เอกสาร</t>
  </si>
  <si>
    <t>รายการ</t>
  </si>
  <si>
    <t>จำนวน</t>
  </si>
  <si>
    <t>หน่วย</t>
  </si>
  <si>
    <t>ราคา</t>
  </si>
  <si>
    <t>ต่อหน่วย</t>
  </si>
  <si>
    <t>มูลค่ารวม</t>
  </si>
  <si>
    <t>อายุ</t>
  </si>
  <si>
    <t>อัตรา</t>
  </si>
  <si>
    <t>ค่าเสื่อมราคา</t>
  </si>
  <si>
    <t>ประจำปี</t>
  </si>
  <si>
    <t>สะสม</t>
  </si>
  <si>
    <t>มูลค่าสุทธิ</t>
  </si>
  <si>
    <t>หมายเหตุ</t>
  </si>
  <si>
    <t>ใช้งาน (ปี)</t>
  </si>
  <si>
    <t>(   ) วธีพิเศษ</t>
  </si>
  <si>
    <t>อาคารที่ทำการของหน่วยงาน</t>
  </si>
  <si>
    <t>1 หลัง</t>
  </si>
  <si>
    <t xml:space="preserve"> -</t>
  </si>
  <si>
    <t>คิดค่าเสื่อมราคา 360 เดือน</t>
  </si>
  <si>
    <t>คิดค่าเสื่อมราคา 1 ปี</t>
  </si>
  <si>
    <t>มุลค่าทางบัญชีคงเหลือ</t>
  </si>
  <si>
    <t>ลำดับที่</t>
  </si>
  <si>
    <t>ประเภท</t>
  </si>
  <si>
    <t>สถานที่ตั้ง/หน่วยงาน</t>
  </si>
  <si>
    <t>ที่อยู่</t>
  </si>
  <si>
    <t>รหัส</t>
  </si>
  <si>
    <t>001</t>
  </si>
  <si>
    <t>อาคารถาวร</t>
  </si>
  <si>
    <t>ศูนย์เทคโนโลยีสารสนเทศและการสื่อสารเขต 4 (นครราชสีมา)</t>
  </si>
  <si>
    <t xml:space="preserve">  ศูนย์เทคโนโลยีสารสนเทศและการสื่อสารเขต 4 (นครราชสีมา)</t>
  </si>
  <si>
    <t xml:space="preserve">   ศูนย์เทคโนโลยีสารสนเทศและการสื่อสารเขต 4 (นครราชสีมา)</t>
  </si>
  <si>
    <t xml:space="preserve">  ตำบลในเมือง  อำเภอเมืองนครราชสีมา  จังหวัดนครราชสีมา</t>
  </si>
  <si>
    <t xml:space="preserve">  เงินงบประมาณ</t>
  </si>
  <si>
    <t xml:space="preserve">  รับบริจาค</t>
  </si>
  <si>
    <t xml:space="preserve">  5410-004-0001</t>
  </si>
  <si>
    <t>ส่วนราชการ</t>
  </si>
  <si>
    <t>หน่วยงาน</t>
  </si>
  <si>
    <t>ลักษณะ/คุณสมบัติ</t>
  </si>
  <si>
    <t>ชื่อผู้ขาย/ผู้รับจ้าง/ผู้บริจาค</t>
  </si>
  <si>
    <t xml:space="preserve">  สป.มท.</t>
  </si>
  <si>
    <t xml:space="preserve">  ที่ทำการสำนักงาน</t>
  </si>
  <si>
    <t xml:space="preserve">  ตำรวจสื่อสาร</t>
  </si>
  <si>
    <t>โทรศัพท์</t>
  </si>
  <si>
    <t xml:space="preserve">  044-242995</t>
  </si>
  <si>
    <t>ทะเบียนคุมทรัพย์ (ศสข.4 นม)</t>
  </si>
  <si>
    <t>-</t>
  </si>
  <si>
    <t>หมดอายุการใช้งานอย่างมี</t>
  </si>
  <si>
    <t>ประสิทธิภาพ มีมูลค่าทางบัญชี</t>
  </si>
  <si>
    <t>คงเหลือไว้ 1 บาท</t>
  </si>
  <si>
    <t>002</t>
  </si>
  <si>
    <t xml:space="preserve">  41-3-26-0201</t>
  </si>
  <si>
    <t>โรงเครื่องยนต์กำเนิดไฟฟ้า</t>
  </si>
  <si>
    <t xml:space="preserve">  5410-004-0002</t>
  </si>
  <si>
    <t>อาคารโรงจอดรถ จอหอ</t>
  </si>
  <si>
    <t>003</t>
  </si>
  <si>
    <t>004</t>
  </si>
  <si>
    <t xml:space="preserve">  ถนนสุรนาราณ์ ตำบลจอหอ  อำเภอเมืองนครราชสีมา  จังหวัดนครราชสีมา</t>
  </si>
  <si>
    <t>สป.มท.</t>
  </si>
  <si>
    <t>ตำรวจสื่อสาร</t>
  </si>
  <si>
    <t>044-242995</t>
  </si>
  <si>
    <t xml:space="preserve">  5410-004-0003</t>
  </si>
  <si>
    <t>005</t>
  </si>
  <si>
    <t>อาคารโรงซ่อมฯ ศสข.4 (นม)</t>
  </si>
  <si>
    <t>ที่ทำการสำนักงาน</t>
  </si>
  <si>
    <t>006</t>
  </si>
  <si>
    <t xml:space="preserve">  5410-004-0004</t>
  </si>
  <si>
    <t xml:space="preserve">  ถนนเดชอุดม ตำบลในเมือง  อำเภอเมืองนครราชสีมา  จังหวัดนครราชสีมา</t>
  </si>
  <si>
    <t xml:space="preserve">  5410-004-0005</t>
  </si>
  <si>
    <t>อาคารที่พักข้าราชการ ศสข.4 (นม) ถ.เดชอุดม เลขที่ 631 จำนวน 1 หลัง 11 ห้อง</t>
  </si>
  <si>
    <t xml:space="preserve"> - </t>
  </si>
  <si>
    <t xml:space="preserve">  ประกวดราคา</t>
  </si>
  <si>
    <t>อาคารที่พักข้าราชการ</t>
  </si>
  <si>
    <t>ครุภัณฑ์ยานพาหนะและขนส่ง</t>
  </si>
  <si>
    <t xml:space="preserve">  2320-008-0003</t>
  </si>
  <si>
    <t xml:space="preserve">  ถนนกำแหงสงคราม  ตำบลในเมือง  อำเภอเมืองนครราชสีมา  จังหวัดนครราชสีมา</t>
  </si>
  <si>
    <t>รถยนต์นั่งสองตอนท้ายบรรทุก ขับเคลื่อน 4 ล้อ (สีเทา) ยี่ห้อ Ford Ranger</t>
  </si>
  <si>
    <t>1 คัน</t>
  </si>
  <si>
    <t>มูลค่าทางบัญชีคงเหลือ</t>
  </si>
  <si>
    <t>รถจักรยานยนต์ (สีน้ำเงิน) ทะเบียน ฮ-3954 นครราชสีมา</t>
  </si>
  <si>
    <t xml:space="preserve">  2340-001-0001</t>
  </si>
  <si>
    <t>รถจักรยานยนต์ (สีน้ำเงิน) ยี่ห้อ Honda</t>
  </si>
  <si>
    <t xml:space="preserve">  2320-008-0004</t>
  </si>
  <si>
    <t>รถยนต์นั่งสองตอน (สีเทา) ทะเบียน 1กช 1552 กทม</t>
  </si>
  <si>
    <t>รถยนต์นั่งสองตอน ขับเคลื่อน 4 ล้อ</t>
  </si>
  <si>
    <t>รถยนต์นั่งสองตอน (สีเทา) ยี่ห้อ Nissan</t>
  </si>
  <si>
    <t xml:space="preserve">  2320-008-0005</t>
  </si>
  <si>
    <t>รถยนต์สื่อสารดาวเทียม ทะเบียน 53-1345 กทม (สีขาว) ยี่ห้อ Benz</t>
  </si>
  <si>
    <t xml:space="preserve">  e-Auction</t>
  </si>
  <si>
    <t>รถยนต์สื่อสารดาวเทียม รุ่น Sprinter</t>
  </si>
  <si>
    <t>ครุภัณฑ์ไฟฟ้า (เครื่องกำเนิดไฟฟ้า)</t>
  </si>
  <si>
    <t xml:space="preserve">  6115-002-0002/46</t>
  </si>
  <si>
    <t>ได้มาจาก ศสส.สป. เป็นผู้จัดหามาให้</t>
  </si>
  <si>
    <t>คิดค่าเสื่อมราคา 60 เดือน</t>
  </si>
  <si>
    <t>คิดค่าเสื่อมราคา 36 เดือน</t>
  </si>
  <si>
    <t>1 เครื่อง</t>
  </si>
  <si>
    <t xml:space="preserve">  6115-002-0003/50</t>
  </si>
  <si>
    <t>เครื่องยนต์กำเนิดไฟฟ้า ขนาด 4.3 KW</t>
  </si>
  <si>
    <t>Generator 4.3 KW/KVA (สีแดง)</t>
  </si>
  <si>
    <t>ครุภัณฑ์ไฟฟ้าและวิทยุ</t>
  </si>
  <si>
    <t xml:space="preserve">  5821-002-0113</t>
  </si>
  <si>
    <t>ได้มาจาก ศสส.สป. โครงการพัฒนาเครือข่ายวิทยุสื่อสารฯ ระยะที่ 2</t>
  </si>
  <si>
    <t>เครื่องรับส่งวิทยุสื่อสารแบบทวนสัญญาณแม่ข่าย ยี่ห้อ ICOM IC-FR5000</t>
  </si>
  <si>
    <t>เครื่องรับส่งวิทยุแบบทวนสัญญาณแม่ข่าย</t>
  </si>
  <si>
    <t>1 ชุด</t>
  </si>
  <si>
    <t>เครื่องรับส่งวิทยุสื่อสารชนิดติดรถยนต์ ยี่ห้อ ICOM IC-FR5063D</t>
  </si>
  <si>
    <t>5 ชุด</t>
  </si>
  <si>
    <t>เครื่องรับส่งวิทยุสื่อสารมือถือ ยี่ห้อ ICOM IC-F3230DT</t>
  </si>
  <si>
    <t>ยี่ห้อ ICOM IC-F3230DT</t>
  </si>
  <si>
    <t>เครื่องรับส่งวิทยุสื่อสารมือถือ</t>
  </si>
  <si>
    <t>15 ชุด</t>
  </si>
  <si>
    <t>ยี่ห้อ ICOM IC-FR5063D</t>
  </si>
  <si>
    <t>เครื่องรับส่งวิทยุชนิดติดรถยนต์</t>
  </si>
  <si>
    <t>ครุภัณฑ์คอมพิวเตอร์</t>
  </si>
  <si>
    <t>เครื่องคอมพิวเตอร์สำนักงาน ยี่ห้อ Dell</t>
  </si>
  <si>
    <t>3 ชุด</t>
  </si>
  <si>
    <t xml:space="preserve">  7440-006-0021-23</t>
  </si>
  <si>
    <t>Core i3 10100 จำนวน 3 เครื่อง</t>
  </si>
  <si>
    <t>ได้มาจาก ศสส.สป. ปี 2564</t>
  </si>
  <si>
    <t xml:space="preserve">  7440-006-0024</t>
  </si>
  <si>
    <t>Core i5 10100 จำนวน 1 เครื่อง</t>
  </si>
  <si>
    <t xml:space="preserve">  5821-002-0114-118</t>
  </si>
  <si>
    <t xml:space="preserve">  5821-002-0119-133</t>
  </si>
  <si>
    <t>ครุภัณฑ์สำนักงาน (เครื่องปรับอากาศ)</t>
  </si>
  <si>
    <t xml:space="preserve">  4120-001-0001/67-02/67</t>
  </si>
  <si>
    <t>เครื่องปรับอากาศ แบบติดผนัง ขนาด 12,000 btu ยี่ห้อ Unimaste</t>
  </si>
  <si>
    <t>เครื่องปรับอากาศ ยี่ห้อ Unimaster -ขนาด</t>
  </si>
  <si>
    <t>12,000 btu รุ่น UNFB-12AX/UNCB-12-AX</t>
  </si>
  <si>
    <t>แบบติดผนัง จำนวน 2 เครื่อง</t>
  </si>
  <si>
    <t>2 ชุด</t>
  </si>
  <si>
    <t xml:space="preserve">  เฉพาะเจาะจง</t>
  </si>
  <si>
    <r>
      <t>ชื่อผู้ขาย/</t>
    </r>
    <r>
      <rPr>
        <sz val="14"/>
        <color theme="1"/>
        <rFont val="TH SarabunPSK"/>
        <family val="2"/>
      </rPr>
      <t>ผู้รับจ้าง/ผู้บริจาค</t>
    </r>
  </si>
  <si>
    <t>ร้านนิคมวิศวกรรม</t>
  </si>
  <si>
    <t xml:space="preserve">  4120-001-0003/67</t>
  </si>
  <si>
    <t>18,000 btu รุ่น UNFB-18/UNCW-18-R32</t>
  </si>
  <si>
    <t>เครื่องปรับอากาศ แบบแขวนฝ้า ขนาด 18,000 btu ยี่ห้อ Unimaste</t>
  </si>
  <si>
    <t>แบบแขวนฝ้า จำนวน 1 เครื่อง</t>
  </si>
  <si>
    <t>เครื่องปรับอากาศ แบบแขวนฝ้า ขนาด 26,000 btu ยี่ห้อ Unimaste</t>
  </si>
  <si>
    <t>26,000 btu รุ่น UNFH-24FF/UNCH-24FF</t>
  </si>
  <si>
    <t>แบบแขวนฝ้า จำนวน 3 เครื่อง</t>
  </si>
  <si>
    <t xml:space="preserve">  4120-001-0004/67-06/67</t>
  </si>
  <si>
    <t xml:space="preserve">  4120-001-0007/67</t>
  </si>
  <si>
    <t>เครื่องปรับอากาศ แบบแขวนฝ้า ขนาด 32,000 btu ยี่ห้อ Unimaste</t>
  </si>
  <si>
    <t>32,000 btu รุ่น UNFX-32R410AUNCX-</t>
  </si>
  <si>
    <t>32R410A แบบแขวนฝ้า จำนวน 2 เครื่อง</t>
  </si>
  <si>
    <t>ทะเบียน ษฐ 7403 กทม</t>
  </si>
  <si>
    <t>อาคารโรงเครื่องยนต์กำเนิดไฟฟ้า จอหอ</t>
  </si>
  <si>
    <t>คิดค่าเสื่อมราคา 39 ปี</t>
  </si>
  <si>
    <t>ปรับปรุงซ่อมแซมอาคาร</t>
  </si>
  <si>
    <t>สำนักงาน ศสข.4 (นม)</t>
  </si>
  <si>
    <t>ปรับปรุงซ่อมแซมห้องน้ำและ</t>
  </si>
  <si>
    <t>บ่อบำบัดน้ำเสีย ศสข.4 (นม)</t>
  </si>
  <si>
    <t>ปรับปรุงซ่อมแซมห้องน้ำ</t>
  </si>
  <si>
    <t>ศสข.4 (นม)</t>
  </si>
  <si>
    <t>คิดค่าเสื่อมราคา 7 ปี</t>
  </si>
  <si>
    <t>เปลี่ยนแบตเตอรี่</t>
  </si>
  <si>
    <t>เปลี่ยนยางรถยนต์</t>
  </si>
  <si>
    <t>เปลี่ยนยางรถยนต์ จำนวน 5 เส้น</t>
  </si>
  <si>
    <t>เข้าศูนย์เช็คระยะรถยนต์</t>
  </si>
  <si>
    <t>เปลี่ยนน้ำมันเกียร์ฯ</t>
  </si>
  <si>
    <t>เปลี่ยนอะไหล่</t>
  </si>
  <si>
    <t>เปลี่ยนสปอร์ตไลท์</t>
  </si>
  <si>
    <t>เปลี่ยนถ่ายน้ำมันเครื่อง</t>
  </si>
  <si>
    <t>เปลี่ยนยางรถยนต์ จำนวน 4 เส้น</t>
  </si>
  <si>
    <t>เปลี่ยนฟิล์ม เปลี่ยนโช๊ค ล้างตู้แอร์</t>
  </si>
  <si>
    <t>เครื่องยนต์กำเนิดไฟฟ้า ขนาด 34 KW ยี่ห้อ CUMMINS/STAMFORD</t>
  </si>
  <si>
    <t>เครื่องยนต์กำเนิดไฟฟ้า ขนาด 34 kW</t>
  </si>
  <si>
    <t>คิดค่าเสื่อมราคา 5 ปี</t>
  </si>
  <si>
    <t>อายุใช้งาน 40 ปี</t>
  </si>
  <si>
    <t>อายุการใช้งาน 20 ปี</t>
  </si>
  <si>
    <t>ซ่อมเครื่องยนต์กำเนิดไฟฟ้า</t>
  </si>
  <si>
    <t>เปลี่ยนแบตเตอรี่ จำนวน 2 ลูก</t>
  </si>
  <si>
    <t>อายุการใช้งาน 8 ปี</t>
  </si>
  <si>
    <t>คิดค่าเสื่อมราคา 40 ปี</t>
  </si>
  <si>
    <t>ปรับปรุงโรงเครื่องยนต์</t>
  </si>
  <si>
    <t>ประวัติการซ่อมบำรุงรักษาทรัพย์สิน (ศสข.4 นม)</t>
  </si>
  <si>
    <t>ครั้งที่</t>
  </si>
  <si>
    <t>วัน/เดือน/ปี</t>
  </si>
  <si>
    <t>จำนวนเงิน</t>
  </si>
  <si>
    <t>17 เม.ย.58</t>
  </si>
  <si>
    <t xml:space="preserve"> - ปรับปรุงซ่อมแซมอาคารสำนักงานศุนย์เทคโนโลยีสารสนเทศและการสื่อสารเขต 4 (นครราชสีมา)</t>
  </si>
  <si>
    <t>บริษัท ซีอีเอส บิลดิ้ง จำกัด</t>
  </si>
  <si>
    <t>30 ส.ค.62</t>
  </si>
  <si>
    <t xml:space="preserve"> - ปรับปรุงซ่อมแซมห้องน้ำ และบ่อบำบัดน้ำเสียของศูนย์เทคโนโลยีสารสนเทศและการสื่อสารเขต 4</t>
  </si>
  <si>
    <t>บริษัท บีเจ เอเบิ้ล จำกัด</t>
  </si>
  <si>
    <t>(นครราชสีมา)</t>
  </si>
  <si>
    <t>21 ส.ค.64</t>
  </si>
  <si>
    <t xml:space="preserve"> - ปรับปรุงซ่อมแซมห้องน้ำของศูนย์เทคโนโลยีสารสนเทศและการสื่อสารเขต 4 (นครราชสีมา)</t>
  </si>
  <si>
    <t>11 ม.ค.60</t>
  </si>
  <si>
    <t xml:space="preserve"> - ปรับปรุงโรงเครื่องยนต์กำเนิดไฟฟ้า ศูนย์เทคโนโลยีสารสนเทศและการสื่อสารเขต 4 (นครราชสีมา)</t>
  </si>
  <si>
    <t>บริษัท เจโฟร์ (2016) จำกัด</t>
  </si>
  <si>
    <t>รถจักรยานยนต์ ทะเบียน ฮ-3954 นม (HONDA)</t>
  </si>
  <si>
    <t>30 ม.ค.62</t>
  </si>
  <si>
    <t xml:space="preserve"> - จ้างซ่อม</t>
  </si>
  <si>
    <t>ร้านสุรสิทธิ์</t>
  </si>
  <si>
    <t>22 พ.ย.64</t>
  </si>
  <si>
    <t xml:space="preserve"> 1. เปลี่ยนบังลม</t>
  </si>
  <si>
    <t>ร้าน นายประชาฯ</t>
  </si>
  <si>
    <t xml:space="preserve"> 2. เปลี่ยนยางนอก+ยางใน หน้า/หลัง</t>
  </si>
  <si>
    <t>เลขที่ 232/21 ถ.สืบศิริ3</t>
  </si>
  <si>
    <t xml:space="preserve"> 3. ค่าแรง</t>
  </si>
  <si>
    <t>ต.ในเมือง อ.เมือง จ.นม</t>
  </si>
  <si>
    <t>รวมทั้งสิ้น</t>
  </si>
  <si>
    <t>รถยนต์นั่งสองตอน ขับเคลื่อน 4 ล้อ ทะเบียน ษฐ 7403 กทม (FORD RANGER)</t>
  </si>
  <si>
    <t>13 ก.ค.58</t>
  </si>
  <si>
    <t xml:space="preserve"> - เปลี่ยนแบตเตอรี่ 95D31R</t>
  </si>
  <si>
    <t>ร้านชุนหลี</t>
  </si>
  <si>
    <t xml:space="preserve"> 8 มิ.ย.61</t>
  </si>
  <si>
    <t xml:space="preserve"> - เปลี่ยนยางรถยนต์</t>
  </si>
  <si>
    <t>ราชสีมาศูนย์ล้อ</t>
  </si>
  <si>
    <t>27 มี.ค.62</t>
  </si>
  <si>
    <t xml:space="preserve"> - เปลี่ยนแบตเตอรี่</t>
  </si>
  <si>
    <t>รถยนต์นั่งสองตอน ทะเบียน 1กช1552 กทม (NISSAN)</t>
  </si>
  <si>
    <t>1 ส.ค.61</t>
  </si>
  <si>
    <t xml:space="preserve"> - เปลี่ยนยาง</t>
  </si>
  <si>
    <t>บ.ราชสีมาศูนย์ล้อ เซอร์วิส</t>
  </si>
  <si>
    <t>9 ม.ค.62</t>
  </si>
  <si>
    <t xml:space="preserve"> - เปลี่ยนแบตเตอรี</t>
  </si>
  <si>
    <t>หจก.ชุนหลี</t>
  </si>
  <si>
    <t xml:space="preserve"> 8 มิ.ย.64</t>
  </si>
  <si>
    <t xml:space="preserve"> 1. เปลี่ยนถ่ายน้ำมันเครื่อง กรองน้ำมันเครื่อง</t>
  </si>
  <si>
    <t>หจก.7ก้าว</t>
  </si>
  <si>
    <t xml:space="preserve"> 2. เปลี่ยน้ำในหม้อน้ำ เติมน้ำยา</t>
  </si>
  <si>
    <t>6 ส.ค.64</t>
  </si>
  <si>
    <t xml:space="preserve"> 1. ค่าบริการเช็คระยะ</t>
  </si>
  <si>
    <t>บ.เอกสหกรุ๊ป ออโตโมบิล จำกัด</t>
  </si>
  <si>
    <t xml:space="preserve"> 2. ค่าบริการเปลี่ยนโช๊คอัพหน้า 2</t>
  </si>
  <si>
    <t>688 ม.5 ต.บ้านใหม่</t>
  </si>
  <si>
    <t xml:space="preserve"> 3. โช๊คอัพหน้า 2</t>
  </si>
  <si>
    <t>อ.เมือง จ.นครราชสีมา</t>
  </si>
  <si>
    <t xml:space="preserve"> 4. ชุดกรองอากาศแอร์</t>
  </si>
  <si>
    <t>โทร.044-049819</t>
  </si>
  <si>
    <t xml:space="preserve"> 5. กรองโซล่า ขวาดำ</t>
  </si>
  <si>
    <t xml:space="preserve"> 6. น้ำมันเบรค 2 </t>
  </si>
  <si>
    <t xml:space="preserve"> 7. น้ำมันเกียร์ 4</t>
  </si>
  <si>
    <t xml:space="preserve"> 8. แหวนรองน๊อตถ่ายน้ำมันเกียร์</t>
  </si>
  <si>
    <t xml:space="preserve"> 9. น้ำมันเฟืองท้าย 3</t>
  </si>
  <si>
    <t>8 มิ.ย.65</t>
  </si>
  <si>
    <t>เปลี่ยนยางนอก จำนวน ๔ เส้น</t>
  </si>
  <si>
    <t>ม.ค.67</t>
  </si>
  <si>
    <t>20 มิ.ย.67</t>
  </si>
  <si>
    <t>เปลี่ยนฟิล์มกรองแสง ทั้งคัน</t>
  </si>
  <si>
    <t>ราชสีมาสูงเซ้งประดับยนต์</t>
  </si>
  <si>
    <t>ล้างตู้แอร์ แว๊กเติมน้ำยา+ เติมน้ำมันคอม</t>
  </si>
  <si>
    <t>เปลี่ยนโช๊คฝาท้ายหลังคาแครี่บอย</t>
  </si>
  <si>
    <t>รถยนต์สื่อสารดาวเทียม ทะเบียน 53-1345 กทม (BENZ)</t>
  </si>
  <si>
    <t>9 ก.พ.61</t>
  </si>
  <si>
    <t xml:space="preserve"> - เปลี่ยนยาง จำนวน 5 เส้น</t>
  </si>
  <si>
    <t>901/1-3 ถ.มิตรภาพ ต.ในเมือง</t>
  </si>
  <si>
    <t>(บ.สามารถฯ ดำเนินการตามสัญญาฯ)</t>
  </si>
  <si>
    <t>21 ก.พ.63</t>
  </si>
  <si>
    <t xml:space="preserve"> 1. fluid change with filter service  จำนวน 1.30 ลิตร</t>
  </si>
  <si>
    <t>บ. เอ็มบี โคราช ออโตเฮาส์ จำกัด</t>
  </si>
  <si>
    <t xml:space="preserve"> 2. oil change in rear axle perfor จำนวน 0.20 ลิตร</t>
  </si>
  <si>
    <t>เลขที่ 1111 หมู่ 1 ต.สุรนารี อ.เมือง</t>
  </si>
  <si>
    <t xml:space="preserve"> 3. น้ำมันเฟืองท้าย จำนวน 2 ขวด</t>
  </si>
  <si>
    <t>จ.นครราชสีมา</t>
  </si>
  <si>
    <t xml:space="preserve"> 4. transmission oil จำนวน 10 ขวด</t>
  </si>
  <si>
    <t>044-222777-9</t>
  </si>
  <si>
    <t xml:space="preserve"> 5. fil terfil ter</t>
  </si>
  <si>
    <t xml:space="preserve"> 6. sealingsealing</t>
  </si>
  <si>
    <t xml:space="preserve"> 7. สกรู screw จำนวน 6 ตัว</t>
  </si>
  <si>
    <t xml:space="preserve"> 8. ปลั๊กอุดฝาไทม์มิ่ง m112 113</t>
  </si>
  <si>
    <t xml:space="preserve"> 9. แหวนรอง</t>
  </si>
  <si>
    <t>รวม</t>
  </si>
  <si>
    <t>ภาษี</t>
  </si>
  <si>
    <t>16 ก.พ.64</t>
  </si>
  <si>
    <t>บ.ราชสีมาศูนย์ล้อ เซอร์วิสฯ</t>
  </si>
  <si>
    <t xml:space="preserve"> 1. เติมน้ำมันเกียร์และน้ำมันเฟืองท้าย</t>
  </si>
  <si>
    <t xml:space="preserve"> 2. เปลี่ยนกรองเกียร์ ยางอ่างเกียร์ น๊อต แหวน</t>
  </si>
  <si>
    <t xml:space="preserve"> 3. น๊อตอ่าง</t>
  </si>
  <si>
    <t>20 มิ.ย.66</t>
  </si>
  <si>
    <t xml:space="preserve"> 1. งานบริการ 10,000 กม.</t>
  </si>
  <si>
    <t xml:space="preserve"> 2. turn signal lamp on right side</t>
  </si>
  <si>
    <t xml:space="preserve"> 3. turn signal lamp on left side</t>
  </si>
  <si>
    <t xml:space="preserve"> 4. wiper blades (both) for windsh</t>
  </si>
  <si>
    <t xml:space="preserve"> 5. mb oil 229.52/5w-30/5l</t>
  </si>
  <si>
    <t xml:space="preserve"> 6. engine oil sae 5w-30 mb229.5</t>
  </si>
  <si>
    <t xml:space="preserve"> 7. filteroil filter</t>
  </si>
  <si>
    <t xml:space="preserve"> 8. inside door trim on 1st door</t>
  </si>
  <si>
    <t xml:space="preserve"> 9. door control unit in hinged do</t>
  </si>
  <si>
    <t xml:space="preserve"> 10. drt-items ordered mu</t>
  </si>
  <si>
    <t>vat 7%</t>
  </si>
  <si>
    <t xml:space="preserve"> เปลี่ยนอะไหล่</t>
  </si>
  <si>
    <t xml:space="preserve"> 1. control panel</t>
  </si>
  <si>
    <t xml:space="preserve"> 2. หลอดเลี้ยว 12v/21w สีส้ม 2 อัน</t>
  </si>
  <si>
    <t xml:space="preserve"> 3. ใบปัดน้ำฝนกระจกบังลมหน้า</t>
  </si>
  <si>
    <t>16 ม.ค.67</t>
  </si>
  <si>
    <t xml:space="preserve"> 2. SHORT TEST PERFORM</t>
  </si>
  <si>
    <t xml:space="preserve"> 3. mb oil 229.52/5w-40/5l (2 ชิ้น)</t>
  </si>
  <si>
    <t xml:space="preserve"> 4. mb oil 229.5/5w-40/1lx12</t>
  </si>
  <si>
    <t xml:space="preserve"> 5. filteroil filter</t>
  </si>
  <si>
    <t xml:space="preserve"> 6. SWITCH FOR POWER WINDOW, 1st D</t>
  </si>
  <si>
    <t xml:space="preserve"> 7. ZDEPOSIT</t>
  </si>
  <si>
    <t xml:space="preserve"> 1. ท่อหด 3 สีดำ</t>
  </si>
  <si>
    <t xml:space="preserve"> 2. ท่อหด 3 สีแดง</t>
  </si>
  <si>
    <t xml:space="preserve"> 3. สายลำโพง ดำ/แดง 1 มิล 100 ม. ทองแดงแท้</t>
  </si>
  <si>
    <t xml:space="preserve"> 4. เคบิ้ลไทค์ 4.8x200 mm 8100 เส้นสีดำ</t>
  </si>
  <si>
    <t xml:space="preserve"> 5. เทปพันสาย ขนาด 3/4นิ้ว 20 เมตร</t>
  </si>
  <si>
    <t xml:space="preserve"> 6. ไฟสปอร์ตไลท์ แบบเหลี่ยน 12-24v 48wสีขาว</t>
  </si>
  <si>
    <t>26 ก.ค.67</t>
  </si>
  <si>
    <t xml:space="preserve"> - เปลี่ยนยางนอก 5 เส้น</t>
  </si>
  <si>
    <t>เครื่องยนต์กำเนิดไฟฟ้า ขนาด 34 KW (CUMMINS/STAMFORD)</t>
  </si>
  <si>
    <t>8 ม.ค.62</t>
  </si>
  <si>
    <t xml:space="preserve"> - ซ่อมเครื่องยนต์กำเนิดไฟฟ้า</t>
  </si>
  <si>
    <t>บริษัท ไบร์ทเพาเวอร์ เจนเนอเรชั่น</t>
  </si>
  <si>
    <t>1 ก.ย.63</t>
  </si>
  <si>
    <t>จ้างเหมาซ่อมเครื่องยนต์กำเนิดไฟฟ้า</t>
  </si>
  <si>
    <t>ร้าน นายเสวก สระสม</t>
  </si>
  <si>
    <t xml:space="preserve"> - เปลี่ยนสายพาน</t>
  </si>
  <si>
    <t xml:space="preserve"> - เปลี่ยนท่อยางหม้อน้ำเข้า-ออก</t>
  </si>
  <si>
    <t xml:space="preserve"> - เปลี่ยนรังผึ่งหม้อน้ำ</t>
  </si>
  <si>
    <t xml:space="preserve"> - เปลี่ยนกรองน้ำมันเครื่อง</t>
  </si>
  <si>
    <t xml:space="preserve"> - เปลี่ยนกรองน้ำมันเชื้อเพลิง</t>
  </si>
  <si>
    <t xml:space="preserve"> - เปลี่ยนน้ำมันเครื่อง</t>
  </si>
  <si>
    <t xml:space="preserve"> - เปลี่ยนกรองอากาศ</t>
  </si>
  <si>
    <t xml:space="preserve"> - เปลี่ยนเกจวัดน้ำมันเชื้อเพลิง</t>
  </si>
  <si>
    <t xml:space="preserve"> - เปลี่ยนปุ่มหยุดเครื่อง Emergency Stop</t>
  </si>
  <si>
    <t xml:space="preserve"> - ค่าบริการตรวจเช็คและซ่อม</t>
  </si>
  <si>
    <t>11 ก.ย.66</t>
  </si>
  <si>
    <t>ร้านอาคม</t>
  </si>
  <si>
    <t>19 ก.ค.67</t>
  </si>
  <si>
    <t xml:space="preserve"> - เปลี่ยนแบตเตอรี่ 2 ลูก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</si>
</sst>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87" formatCode="_(* #,##0.00_);_(* \(#,##0.00\);_(* &quot;-&quot;??_);_(@_)"/>
    <numFmt numFmtId="188" formatCode="#,##0.000"/>
    <numFmt numFmtId="189" formatCode="#,##0.00_ ;\-#,##0.00\ "/>
  </numFmts>
  <fonts count="16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5"/>
      <color theme="1"/>
      <name val="TH SarabunPSK"/>
      <family val="2"/>
    </font>
    <font>
      <b/>
      <sz val="18"/>
      <color theme="1"/>
      <name val="TH SarabunPSK"/>
      <family val="2"/>
    </font>
    <font>
      <b/>
      <sz val="12"/>
      <color theme="1"/>
      <name val="TH SarabunPSK"/>
      <family val="2"/>
    </font>
    <font>
      <sz val="12"/>
      <color theme="1"/>
      <name val="TH SarabunPSK"/>
      <family val="2"/>
    </font>
    <font>
      <sz val="13"/>
      <color theme="1"/>
      <name val="TH SarabunPSK"/>
      <family val="2"/>
    </font>
    <font>
      <b/>
      <sz val="13"/>
      <color theme="1"/>
      <name val="TH SarabunPSK"/>
      <family val="2"/>
    </font>
    <font>
      <sz val="14"/>
      <color rgb="FFFF0000"/>
      <name val="TH SarabunPSK"/>
      <family val="2"/>
    </font>
    <font>
      <sz val="14"/>
      <name val="TH SarabunPSK"/>
      <family val="2"/>
    </font>
    <font>
      <b/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220">
    <xf numFmtId="0" fontId="0" fillId="0" borderId="0" xfId="0"/>
    <xf numFmtId="187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7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87" fontId="2" fillId="0" borderId="0" xfId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87" fontId="2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87" fontId="2" fillId="0" borderId="2" xfId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87" fontId="2" fillId="0" borderId="4" xfId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87" fontId="2" fillId="0" borderId="5" xfId="1" applyFont="1" applyBorder="1" applyAlignment="1">
      <alignment vertical="center"/>
    </xf>
    <xf numFmtId="187" fontId="2" fillId="0" borderId="5" xfId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187" fontId="2" fillId="0" borderId="6" xfId="1" applyFont="1" applyBorder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87" fontId="3" fillId="0" borderId="9" xfId="1" applyFont="1" applyBorder="1" applyAlignment="1">
      <alignment vertical="center"/>
    </xf>
    <xf numFmtId="187" fontId="2" fillId="0" borderId="9" xfId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/>
    </xf>
    <xf numFmtId="187" fontId="4" fillId="0" borderId="0" xfId="1" applyFont="1" applyAlignment="1">
      <alignment horizontal="center" vertical="center"/>
    </xf>
    <xf numFmtId="0" fontId="2" fillId="0" borderId="10" xfId="0" applyFont="1" applyBorder="1" applyAlignment="1">
      <alignment vertical="center"/>
    </xf>
    <xf numFmtId="187" fontId="2" fillId="0" borderId="10" xfId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87" fontId="2" fillId="0" borderId="5" xfId="1" quotePrefix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187" fontId="2" fillId="0" borderId="11" xfId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187" fontId="2" fillId="0" borderId="11" xfId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10" fontId="2" fillId="0" borderId="5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87" fontId="2" fillId="0" borderId="11" xfId="1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187" fontId="2" fillId="0" borderId="6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9" fontId="2" fillId="0" borderId="11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0" fontId="2" fillId="0" borderId="5" xfId="0" applyNumberFormat="1" applyFont="1" applyBorder="1" applyAlignment="1">
      <alignment vertical="center"/>
    </xf>
    <xf numFmtId="10" fontId="2" fillId="0" borderId="6" xfId="0" applyNumberFormat="1" applyFont="1" applyBorder="1" applyAlignment="1">
      <alignment vertical="center"/>
    </xf>
    <xf numFmtId="187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187" fontId="10" fillId="0" borderId="4" xfId="1" applyFont="1" applyBorder="1" applyAlignment="1">
      <alignment vertical="center"/>
    </xf>
    <xf numFmtId="187" fontId="11" fillId="0" borderId="4" xfId="1" applyFont="1" applyBorder="1" applyAlignment="1">
      <alignment vertical="center"/>
    </xf>
    <xf numFmtId="188" fontId="2" fillId="0" borderId="5" xfId="1" applyNumberFormat="1" applyFont="1" applyBorder="1" applyAlignment="1">
      <alignment vertical="center"/>
    </xf>
    <xf numFmtId="188" fontId="2" fillId="0" borderId="13" xfId="1" applyNumberFormat="1" applyFont="1" applyBorder="1" applyAlignment="1">
      <alignment vertical="center"/>
    </xf>
    <xf numFmtId="4" fontId="2" fillId="0" borderId="5" xfId="1" applyNumberFormat="1" applyFont="1" applyBorder="1" applyAlignment="1">
      <alignment vertical="center"/>
    </xf>
    <xf numFmtId="4" fontId="2" fillId="0" borderId="4" xfId="1" applyNumberFormat="1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" fontId="2" fillId="0" borderId="13" xfId="1" applyNumberFormat="1" applyFont="1" applyBorder="1" applyAlignment="1">
      <alignment horizontal="right" vertical="center"/>
    </xf>
    <xf numFmtId="4" fontId="2" fillId="0" borderId="5" xfId="1" applyNumberFormat="1" applyFont="1" applyBorder="1" applyAlignment="1">
      <alignment horizontal="right" vertical="center"/>
    </xf>
    <xf numFmtId="4" fontId="2" fillId="0" borderId="4" xfId="1" applyNumberFormat="1" applyFont="1" applyBorder="1" applyAlignment="1">
      <alignment horizontal="right" vertical="center"/>
    </xf>
    <xf numFmtId="187" fontId="2" fillId="0" borderId="4" xfId="1" quotePrefix="1" applyFont="1" applyBorder="1" applyAlignment="1">
      <alignment horizontal="center" vertical="center"/>
    </xf>
    <xf numFmtId="187" fontId="2" fillId="2" borderId="5" xfId="1" applyFont="1" applyFill="1" applyBorder="1" applyAlignment="1">
      <alignment vertical="center"/>
    </xf>
    <xf numFmtId="4" fontId="2" fillId="0" borderId="13" xfId="1" applyNumberFormat="1" applyFont="1" applyBorder="1" applyAlignment="1">
      <alignment vertical="center"/>
    </xf>
    <xf numFmtId="187" fontId="2" fillId="0" borderId="13" xfId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87" fontId="2" fillId="0" borderId="4" xfId="1" applyFont="1" applyBorder="1" applyAlignment="1">
      <alignment horizontal="right" vertical="center"/>
    </xf>
    <xf numFmtId="187" fontId="2" fillId="0" borderId="5" xfId="1" applyFont="1" applyBorder="1" applyAlignment="1">
      <alignment horizontal="right" vertical="center"/>
    </xf>
    <xf numFmtId="4" fontId="2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7" xfId="0" quotePrefix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7" fontId="2" fillId="0" borderId="2" xfId="1" applyFont="1" applyBorder="1" applyAlignment="1">
      <alignment horizontal="center" vertical="center"/>
    </xf>
    <xf numFmtId="187" fontId="0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87" fontId="2" fillId="0" borderId="4" xfId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87" fontId="2" fillId="0" borderId="14" xfId="1" applyFont="1" applyBorder="1" applyAlignment="1">
      <alignment horizontal="center" vertical="center"/>
    </xf>
    <xf numFmtId="10" fontId="2" fillId="0" borderId="14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3" fillId="0" borderId="0" xfId="0" applyFont="1"/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quotePrefix="1" applyFont="1" applyBorder="1" applyAlignment="1">
      <alignment horizontal="center" vertical="center"/>
    </xf>
    <xf numFmtId="0" fontId="13" fillId="0" borderId="11" xfId="0" applyFont="1" applyBorder="1"/>
    <xf numFmtId="4" fontId="13" fillId="0" borderId="11" xfId="0" applyNumberFormat="1" applyFont="1" applyBorder="1" applyAlignment="1">
      <alignment horizontal="right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6" xfId="0" applyFont="1" applyBorder="1"/>
    <xf numFmtId="4" fontId="13" fillId="0" borderId="6" xfId="0" applyNumberFormat="1" applyFont="1" applyBorder="1" applyAlignment="1">
      <alignment horizontal="right" vertical="center"/>
    </xf>
    <xf numFmtId="4" fontId="13" fillId="0" borderId="11" xfId="1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/>
    <xf numFmtId="4" fontId="13" fillId="0" borderId="5" xfId="1" applyNumberFormat="1" applyFont="1" applyBorder="1" applyAlignment="1">
      <alignment horizontal="right" vertical="center"/>
    </xf>
    <xf numFmtId="4" fontId="13" fillId="0" borderId="6" xfId="1" applyNumberFormat="1" applyFont="1" applyBorder="1" applyAlignment="1">
      <alignment horizontal="right" vertical="center"/>
    </xf>
    <xf numFmtId="0" fontId="13" fillId="0" borderId="11" xfId="0" applyFont="1" applyBorder="1" applyAlignment="1">
      <alignment horizontal="left" vertical="center"/>
    </xf>
    <xf numFmtId="0" fontId="13" fillId="0" borderId="5" xfId="0" quotePrefix="1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/>
    </xf>
    <xf numFmtId="4" fontId="13" fillId="0" borderId="5" xfId="1" applyNumberFormat="1" applyFont="1" applyBorder="1"/>
    <xf numFmtId="0" fontId="14" fillId="0" borderId="5" xfId="0" applyFont="1" applyBorder="1" applyAlignment="1">
      <alignment horizontal="right"/>
    </xf>
    <xf numFmtId="4" fontId="14" fillId="0" borderId="5" xfId="1" applyNumberFormat="1" applyFont="1" applyBorder="1"/>
    <xf numFmtId="4" fontId="13" fillId="0" borderId="5" xfId="0" applyNumberFormat="1" applyFont="1" applyBorder="1" applyAlignment="1">
      <alignment horizontal="right" vertical="center"/>
    </xf>
    <xf numFmtId="0" fontId="13" fillId="0" borderId="11" xfId="0" quotePrefix="1" applyFont="1" applyBorder="1"/>
    <xf numFmtId="4" fontId="13" fillId="0" borderId="11" xfId="1" applyNumberFormat="1" applyFont="1" applyBorder="1"/>
    <xf numFmtId="0" fontId="13" fillId="0" borderId="22" xfId="0" applyFont="1" applyBorder="1"/>
    <xf numFmtId="0" fontId="13" fillId="0" borderId="13" xfId="0" applyFont="1" applyBorder="1" applyAlignment="1">
      <alignment horizontal="center" vertical="center"/>
    </xf>
    <xf numFmtId="0" fontId="13" fillId="0" borderId="13" xfId="0" applyFont="1" applyBorder="1"/>
    <xf numFmtId="4" fontId="13" fillId="0" borderId="13" xfId="1" applyNumberFormat="1" applyFont="1" applyBorder="1"/>
    <xf numFmtId="0" fontId="14" fillId="0" borderId="5" xfId="0" applyFont="1" applyBorder="1" applyAlignment="1">
      <alignment horizontal="right" vertical="center"/>
    </xf>
    <xf numFmtId="4" fontId="14" fillId="0" borderId="5" xfId="1" applyNumberFormat="1" applyFont="1" applyBorder="1" applyAlignment="1">
      <alignment horizontal="right" vertical="center"/>
    </xf>
    <xf numFmtId="0" fontId="13" fillId="0" borderId="11" xfId="0" applyFont="1" applyBorder="1" applyAlignment="1">
      <alignment horizontal="left"/>
    </xf>
    <xf numFmtId="17" fontId="13" fillId="0" borderId="2" xfId="0" quotePrefix="1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4" fontId="13" fillId="0" borderId="2" xfId="1" applyNumberFormat="1" applyFont="1" applyBorder="1" applyAlignment="1">
      <alignment horizontal="right" vertical="center"/>
    </xf>
    <xf numFmtId="0" fontId="13" fillId="0" borderId="2" xfId="0" applyFont="1" applyBorder="1" applyAlignment="1">
      <alignment horizontal="left"/>
    </xf>
    <xf numFmtId="0" fontId="13" fillId="0" borderId="4" xfId="0" applyFont="1" applyBorder="1"/>
    <xf numFmtId="15" fontId="13" fillId="0" borderId="11" xfId="0" quotePrefix="1" applyNumberFormat="1" applyFont="1" applyBorder="1" applyAlignment="1">
      <alignment horizontal="center" vertical="center"/>
    </xf>
    <xf numFmtId="4" fontId="13" fillId="0" borderId="11" xfId="1" applyNumberFormat="1" applyFont="1" applyBorder="1" applyAlignment="1">
      <alignment horizontal="right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right"/>
    </xf>
    <xf numFmtId="4" fontId="13" fillId="0" borderId="6" xfId="1" applyNumberFormat="1" applyFont="1" applyBorder="1"/>
    <xf numFmtId="0" fontId="13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13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4" fontId="13" fillId="0" borderId="23" xfId="1" applyNumberFormat="1" applyFont="1" applyBorder="1"/>
    <xf numFmtId="0" fontId="13" fillId="0" borderId="14" xfId="0" applyFont="1" applyBorder="1" applyAlignment="1">
      <alignment horizontal="left"/>
    </xf>
    <xf numFmtId="0" fontId="13" fillId="0" borderId="3" xfId="0" applyFont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/>
    </xf>
    <xf numFmtId="0" fontId="13" fillId="0" borderId="3" xfId="0" applyFont="1" applyBorder="1"/>
    <xf numFmtId="4" fontId="13" fillId="0" borderId="3" xfId="0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left" vertical="center"/>
    </xf>
    <xf numFmtId="4" fontId="13" fillId="0" borderId="4" xfId="1" applyNumberFormat="1" applyFont="1" applyBorder="1" applyAlignment="1">
      <alignment horizontal="right" vertical="center"/>
    </xf>
    <xf numFmtId="0" fontId="13" fillId="0" borderId="5" xfId="0" applyFont="1" applyBorder="1" applyAlignment="1">
      <alignment horizontal="right"/>
    </xf>
    <xf numFmtId="4" fontId="13" fillId="0" borderId="24" xfId="1" applyNumberFormat="1" applyFont="1" applyBorder="1"/>
    <xf numFmtId="0" fontId="13" fillId="0" borderId="4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13" fillId="0" borderId="2" xfId="0" applyFont="1" applyBorder="1"/>
    <xf numFmtId="0" fontId="13" fillId="0" borderId="14" xfId="0" applyFont="1" applyBorder="1" applyAlignment="1">
      <alignment horizontal="center" vertical="center"/>
    </xf>
    <xf numFmtId="0" fontId="13" fillId="0" borderId="14" xfId="0" quotePrefix="1" applyFont="1" applyBorder="1" applyAlignment="1">
      <alignment horizontal="center" vertical="center"/>
    </xf>
    <xf numFmtId="0" fontId="13" fillId="0" borderId="14" xfId="0" applyFont="1" applyBorder="1"/>
    <xf numFmtId="4" fontId="13" fillId="0" borderId="14" xfId="0" applyNumberFormat="1" applyFont="1" applyBorder="1" applyAlignment="1">
      <alignment horizontal="right" vertical="center"/>
    </xf>
    <xf numFmtId="4" fontId="13" fillId="0" borderId="13" xfId="0" applyNumberFormat="1" applyFont="1" applyBorder="1" applyAlignment="1">
      <alignment horizontal="right" vertical="center"/>
    </xf>
    <xf numFmtId="187" fontId="13" fillId="0" borderId="6" xfId="1" applyFont="1" applyBorder="1"/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/>
    <xf numFmtId="4" fontId="13" fillId="0" borderId="0" xfId="0" applyNumberFormat="1" applyFont="1" applyBorder="1" applyAlignment="1">
      <alignment horizontal="right" vertical="center"/>
    </xf>
    <xf numFmtId="0" fontId="13" fillId="0" borderId="0" xfId="0" applyFont="1" applyBorder="1" applyAlignment="1">
      <alignment horizontal="left" vertical="center"/>
    </xf>
    <xf numFmtId="187" fontId="13" fillId="0" borderId="17" xfId="1" applyFont="1" applyBorder="1"/>
    <xf numFmtId="2" fontId="13" fillId="0" borderId="23" xfId="1" applyNumberFormat="1" applyFont="1" applyBorder="1"/>
    <xf numFmtId="2" fontId="13" fillId="0" borderId="5" xfId="1" applyNumberFormat="1" applyFont="1" applyBorder="1"/>
    <xf numFmtId="0" fontId="14" fillId="0" borderId="4" xfId="0" applyFont="1" applyBorder="1" applyAlignment="1">
      <alignment horizontal="right" vertical="center"/>
    </xf>
    <xf numFmtId="2" fontId="14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4" fontId="13" fillId="0" borderId="25" xfId="1" applyNumberFormat="1" applyFont="1" applyBorder="1"/>
    <xf numFmtId="4" fontId="14" fillId="0" borderId="25" xfId="1" applyNumberFormat="1" applyFont="1" applyBorder="1"/>
    <xf numFmtId="0" fontId="15" fillId="0" borderId="11" xfId="0" applyFont="1" applyBorder="1" applyAlignment="1">
      <alignment horizontal="left"/>
    </xf>
    <xf numFmtId="187" fontId="13" fillId="0" borderId="11" xfId="1" applyFont="1" applyBorder="1"/>
    <xf numFmtId="0" fontId="2" fillId="0" borderId="5" xfId="0" applyFont="1" applyBorder="1" applyAlignment="1">
      <alignment horizontal="left"/>
    </xf>
    <xf numFmtId="0" fontId="13" fillId="0" borderId="2" xfId="0" quotePrefix="1" applyFont="1" applyBorder="1" applyAlignment="1">
      <alignment horizontal="center"/>
    </xf>
    <xf numFmtId="4" fontId="13" fillId="0" borderId="17" xfId="1" applyNumberFormat="1" applyFont="1" applyBorder="1"/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right"/>
    </xf>
    <xf numFmtId="187" fontId="13" fillId="0" borderId="26" xfId="1" applyFont="1" applyBorder="1"/>
    <xf numFmtId="0" fontId="13" fillId="0" borderId="20" xfId="0" applyFont="1" applyBorder="1"/>
    <xf numFmtId="4" fontId="13" fillId="0" borderId="4" xfId="0" applyNumberFormat="1" applyFont="1" applyBorder="1" applyAlignment="1">
      <alignment horizontal="right" vertical="center"/>
    </xf>
    <xf numFmtId="4" fontId="13" fillId="0" borderId="14" xfId="1" applyNumberFormat="1" applyFont="1" applyBorder="1" applyAlignment="1">
      <alignment horizontal="right" vertical="center"/>
    </xf>
    <xf numFmtId="4" fontId="13" fillId="0" borderId="13" xfId="1" applyNumberFormat="1" applyFont="1" applyBorder="1" applyAlignment="1">
      <alignment horizontal="right" vertical="center"/>
    </xf>
    <xf numFmtId="0" fontId="13" fillId="0" borderId="11" xfId="0" quotePrefix="1" applyFont="1" applyBorder="1" applyAlignment="1">
      <alignment horizontal="center"/>
    </xf>
    <xf numFmtId="189" fontId="13" fillId="0" borderId="11" xfId="1" applyNumberFormat="1" applyFont="1" applyBorder="1" applyAlignment="1">
      <alignment horizontal="right" vertical="center"/>
    </xf>
  </cellXfs>
  <cellStyles count="2">
    <cellStyle name="เครื่องหมาย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685800</xdr:colOff>
      <xdr:row>0</xdr:row>
      <xdr:rowOff>66675</xdr:rowOff>
    </xdr:from>
    <xdr:ext cx="752475" cy="348297"/>
    <xdr:sp macro="" textlink="">
      <xdr:nvSpPr>
        <xdr:cNvPr id="2" name="กล่องข้อความ 1"/>
        <xdr:cNvSpPr txBox="1"/>
      </xdr:nvSpPr>
      <xdr:spPr>
        <a:xfrm>
          <a:off x="9820275" y="66675"/>
          <a:ext cx="75247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อาคารถาวร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685800</xdr:colOff>
      <xdr:row>0</xdr:row>
      <xdr:rowOff>57150</xdr:rowOff>
    </xdr:from>
    <xdr:ext cx="752475" cy="348297"/>
    <xdr:sp macro="" textlink="">
      <xdr:nvSpPr>
        <xdr:cNvPr id="2" name="กล่องข้อความ 1"/>
        <xdr:cNvSpPr txBox="1"/>
      </xdr:nvSpPr>
      <xdr:spPr>
        <a:xfrm>
          <a:off x="9820275" y="57150"/>
          <a:ext cx="75247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อาคารถาวร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704850</xdr:colOff>
      <xdr:row>0</xdr:row>
      <xdr:rowOff>47625</xdr:rowOff>
    </xdr:from>
    <xdr:ext cx="752475" cy="348297"/>
    <xdr:sp macro="" textlink="">
      <xdr:nvSpPr>
        <xdr:cNvPr id="2" name="กล่องข้อความ 1"/>
        <xdr:cNvSpPr txBox="1"/>
      </xdr:nvSpPr>
      <xdr:spPr>
        <a:xfrm>
          <a:off x="9839325" y="47625"/>
          <a:ext cx="75247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อาคารถาวร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695325</xdr:colOff>
      <xdr:row>0</xdr:row>
      <xdr:rowOff>57150</xdr:rowOff>
    </xdr:from>
    <xdr:ext cx="752475" cy="348297"/>
    <xdr:sp macro="" textlink="">
      <xdr:nvSpPr>
        <xdr:cNvPr id="2" name="กล่องข้อความ 1"/>
        <xdr:cNvSpPr txBox="1"/>
      </xdr:nvSpPr>
      <xdr:spPr>
        <a:xfrm>
          <a:off x="9820275" y="57150"/>
          <a:ext cx="75247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อาคารถาวร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676275</xdr:colOff>
      <xdr:row>0</xdr:row>
      <xdr:rowOff>47625</xdr:rowOff>
    </xdr:from>
    <xdr:ext cx="752475" cy="348297"/>
    <xdr:sp macro="" textlink="">
      <xdr:nvSpPr>
        <xdr:cNvPr id="2" name="กล่องข้อความ 1"/>
        <xdr:cNvSpPr txBox="1"/>
      </xdr:nvSpPr>
      <xdr:spPr>
        <a:xfrm>
          <a:off x="9810750" y="47625"/>
          <a:ext cx="75247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อาคารถาวร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752475</xdr:colOff>
      <xdr:row>0</xdr:row>
      <xdr:rowOff>57150</xdr:rowOff>
    </xdr:from>
    <xdr:ext cx="752475" cy="348297"/>
    <xdr:sp macro="" textlink="">
      <xdr:nvSpPr>
        <xdr:cNvPr id="2" name="กล่องข้อความ 1"/>
        <xdr:cNvSpPr txBox="1"/>
      </xdr:nvSpPr>
      <xdr:spPr>
        <a:xfrm>
          <a:off x="9886950" y="57150"/>
          <a:ext cx="75247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อาคารถาวร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104775</xdr:colOff>
      <xdr:row>0</xdr:row>
      <xdr:rowOff>47625</xdr:rowOff>
    </xdr:from>
    <xdr:ext cx="1343025" cy="348297"/>
    <xdr:sp macro="" textlink="">
      <xdr:nvSpPr>
        <xdr:cNvPr id="2" name="กล่องข้อความ 1"/>
        <xdr:cNvSpPr txBox="1"/>
      </xdr:nvSpPr>
      <xdr:spPr>
        <a:xfrm>
          <a:off x="9239250" y="47625"/>
          <a:ext cx="13430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ครุภัณฑ์ยานพาหนะและขนส่ง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104775</xdr:colOff>
      <xdr:row>0</xdr:row>
      <xdr:rowOff>47625</xdr:rowOff>
    </xdr:from>
    <xdr:ext cx="1343025" cy="348297"/>
    <xdr:sp macro="" textlink="">
      <xdr:nvSpPr>
        <xdr:cNvPr id="2" name="กล่องข้อความ 1"/>
        <xdr:cNvSpPr txBox="1"/>
      </xdr:nvSpPr>
      <xdr:spPr>
        <a:xfrm>
          <a:off x="9277350" y="47625"/>
          <a:ext cx="13430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ครุภัณฑ์ยานพาหนะและขนส่ง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104775</xdr:colOff>
      <xdr:row>0</xdr:row>
      <xdr:rowOff>47625</xdr:rowOff>
    </xdr:from>
    <xdr:ext cx="1343025" cy="348297"/>
    <xdr:sp macro="" textlink="">
      <xdr:nvSpPr>
        <xdr:cNvPr id="2" name="กล่องข้อความ 1"/>
        <xdr:cNvSpPr txBox="1"/>
      </xdr:nvSpPr>
      <xdr:spPr>
        <a:xfrm>
          <a:off x="9344025" y="47625"/>
          <a:ext cx="13430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ครุภัณฑ์ยานพาหนะและขนส่ง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104775</xdr:colOff>
      <xdr:row>0</xdr:row>
      <xdr:rowOff>47625</xdr:rowOff>
    </xdr:from>
    <xdr:ext cx="1343025" cy="348297"/>
    <xdr:sp macro="" textlink="">
      <xdr:nvSpPr>
        <xdr:cNvPr id="2" name="กล่องข้อความ 1"/>
        <xdr:cNvSpPr txBox="1"/>
      </xdr:nvSpPr>
      <xdr:spPr>
        <a:xfrm>
          <a:off x="9363075" y="47625"/>
          <a:ext cx="13430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ครุภัณฑ์ยานพาหนะและขนส่ง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733426</xdr:colOff>
      <xdr:row>0</xdr:row>
      <xdr:rowOff>47625</xdr:rowOff>
    </xdr:from>
    <xdr:ext cx="1543050" cy="348297"/>
    <xdr:sp macro="" textlink="">
      <xdr:nvSpPr>
        <xdr:cNvPr id="2" name="กล่องข้อความ 1"/>
        <xdr:cNvSpPr txBox="1"/>
      </xdr:nvSpPr>
      <xdr:spPr>
        <a:xfrm>
          <a:off x="9124951" y="47625"/>
          <a:ext cx="1543050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ครุภัณฑ์ไฟฟ้า (เครื่องกำเนิดไฟฟ้า)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733426</xdr:colOff>
      <xdr:row>0</xdr:row>
      <xdr:rowOff>47625</xdr:rowOff>
    </xdr:from>
    <xdr:ext cx="1543050" cy="348297"/>
    <xdr:sp macro="" textlink="">
      <xdr:nvSpPr>
        <xdr:cNvPr id="2" name="กล่องข้อความ 1"/>
        <xdr:cNvSpPr txBox="1"/>
      </xdr:nvSpPr>
      <xdr:spPr>
        <a:xfrm>
          <a:off x="9124951" y="47625"/>
          <a:ext cx="1543050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ครุภัณฑ์ไฟฟ้า (เครื่องกำเนิดไฟฟ้า)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247652</xdr:colOff>
      <xdr:row>0</xdr:row>
      <xdr:rowOff>47625</xdr:rowOff>
    </xdr:from>
    <xdr:ext cx="1133473" cy="348297"/>
    <xdr:sp macro="" textlink="">
      <xdr:nvSpPr>
        <xdr:cNvPr id="2" name="กล่องข้อความ 1"/>
        <xdr:cNvSpPr txBox="1"/>
      </xdr:nvSpPr>
      <xdr:spPr>
        <a:xfrm>
          <a:off x="9505952" y="47625"/>
          <a:ext cx="1133473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ครุภัณฑ์ไฟฟ้าและวิทยุ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247652</xdr:colOff>
      <xdr:row>0</xdr:row>
      <xdr:rowOff>47625</xdr:rowOff>
    </xdr:from>
    <xdr:ext cx="1133473" cy="348297"/>
    <xdr:sp macro="" textlink="">
      <xdr:nvSpPr>
        <xdr:cNvPr id="2" name="กล่องข้อความ 1"/>
        <xdr:cNvSpPr txBox="1"/>
      </xdr:nvSpPr>
      <xdr:spPr>
        <a:xfrm>
          <a:off x="9572627" y="47625"/>
          <a:ext cx="1133473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ครุภัณฑ์ไฟฟ้าและวิทยุ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247652</xdr:colOff>
      <xdr:row>0</xdr:row>
      <xdr:rowOff>47625</xdr:rowOff>
    </xdr:from>
    <xdr:ext cx="1133473" cy="348297"/>
    <xdr:sp macro="" textlink="">
      <xdr:nvSpPr>
        <xdr:cNvPr id="2" name="กล่องข้อความ 1"/>
        <xdr:cNvSpPr txBox="1"/>
      </xdr:nvSpPr>
      <xdr:spPr>
        <a:xfrm>
          <a:off x="9572627" y="47625"/>
          <a:ext cx="1133473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ครุภัณฑ์ไฟฟ้าและวิทยุ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247652</xdr:colOff>
      <xdr:row>0</xdr:row>
      <xdr:rowOff>47625</xdr:rowOff>
    </xdr:from>
    <xdr:ext cx="1133473" cy="348297"/>
    <xdr:sp macro="" textlink="">
      <xdr:nvSpPr>
        <xdr:cNvPr id="2" name="กล่องข้อความ 1"/>
        <xdr:cNvSpPr txBox="1"/>
      </xdr:nvSpPr>
      <xdr:spPr>
        <a:xfrm>
          <a:off x="9572627" y="47625"/>
          <a:ext cx="1133473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ครุภัณฑ์คอมพิวเตอร์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247652</xdr:colOff>
      <xdr:row>0</xdr:row>
      <xdr:rowOff>47625</xdr:rowOff>
    </xdr:from>
    <xdr:ext cx="1133473" cy="348297"/>
    <xdr:sp macro="" textlink="">
      <xdr:nvSpPr>
        <xdr:cNvPr id="2" name="กล่องข้อความ 1"/>
        <xdr:cNvSpPr txBox="1"/>
      </xdr:nvSpPr>
      <xdr:spPr>
        <a:xfrm>
          <a:off x="9572627" y="47625"/>
          <a:ext cx="1133473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ครุภัณฑ์คอมพิวเตอร์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542925</xdr:colOff>
      <xdr:row>0</xdr:row>
      <xdr:rowOff>47625</xdr:rowOff>
    </xdr:from>
    <xdr:ext cx="1647825" cy="348297"/>
    <xdr:sp macro="" textlink="">
      <xdr:nvSpPr>
        <xdr:cNvPr id="2" name="กล่องข้อความ 1"/>
        <xdr:cNvSpPr txBox="1"/>
      </xdr:nvSpPr>
      <xdr:spPr>
        <a:xfrm>
          <a:off x="9058275" y="47625"/>
          <a:ext cx="16478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ครุภัณฑ์สำนักงาน (เครื่องปรับอากาศ)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542925</xdr:colOff>
      <xdr:row>0</xdr:row>
      <xdr:rowOff>47625</xdr:rowOff>
    </xdr:from>
    <xdr:ext cx="1647825" cy="348297"/>
    <xdr:sp macro="" textlink="">
      <xdr:nvSpPr>
        <xdr:cNvPr id="2" name="กล่องข้อความ 1"/>
        <xdr:cNvSpPr txBox="1"/>
      </xdr:nvSpPr>
      <xdr:spPr>
        <a:xfrm>
          <a:off x="9058275" y="47625"/>
          <a:ext cx="16478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ครุภัณฑ์สำนักงาน (เครื่องปรับอากาศ)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542925</xdr:colOff>
      <xdr:row>0</xdr:row>
      <xdr:rowOff>47625</xdr:rowOff>
    </xdr:from>
    <xdr:ext cx="1647825" cy="348297"/>
    <xdr:sp macro="" textlink="">
      <xdr:nvSpPr>
        <xdr:cNvPr id="2" name="กล่องข้อความ 1"/>
        <xdr:cNvSpPr txBox="1"/>
      </xdr:nvSpPr>
      <xdr:spPr>
        <a:xfrm>
          <a:off x="9058275" y="47625"/>
          <a:ext cx="16478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ครุภัณฑ์สำนักงาน (เครื่องปรับอากาศ)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542925</xdr:colOff>
      <xdr:row>0</xdr:row>
      <xdr:rowOff>47625</xdr:rowOff>
    </xdr:from>
    <xdr:ext cx="1647825" cy="348297"/>
    <xdr:sp macro="" textlink="">
      <xdr:nvSpPr>
        <xdr:cNvPr id="2" name="กล่องข้อความ 1"/>
        <xdr:cNvSpPr txBox="1"/>
      </xdr:nvSpPr>
      <xdr:spPr>
        <a:xfrm>
          <a:off x="9058275" y="47625"/>
          <a:ext cx="1647825" cy="3482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h-TH" sz="1100" b="1">
              <a:latin typeface="TH SarabunPSK" panose="020B0500040200020003" pitchFamily="34" charset="-34"/>
              <a:cs typeface="TH SarabunPSK" panose="020B0500040200020003" pitchFamily="34" charset="-34"/>
            </a:rPr>
            <a:t>ครุภัณฑ์สำนักงาน (เครื่องปรับอากาศ)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E7" sqref="E7"/>
    </sheetView>
  </sheetViews>
  <sheetFormatPr defaultColWidth="9.125" defaultRowHeight="18.75" x14ac:dyDescent="0.2"/>
  <cols>
    <col min="1" max="1" width="10.25" style="6" customWidth="1"/>
    <col min="2" max="2" width="9.125" style="6"/>
    <col min="3" max="3" width="19.625" style="6" customWidth="1"/>
    <col min="4" max="4" width="9.125" style="6"/>
    <col min="5" max="6" width="11" style="7" customWidth="1"/>
    <col min="7" max="7" width="8.375" style="6" customWidth="1"/>
    <col min="8" max="8" width="9.125" style="6" customWidth="1"/>
    <col min="9" max="9" width="10.75" style="7" customWidth="1"/>
    <col min="10" max="10" width="10.75" style="6" customWidth="1"/>
    <col min="11" max="11" width="10.75" style="7" customWidth="1"/>
    <col min="12" max="12" width="19.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45</v>
      </c>
      <c r="C3" s="94"/>
      <c r="H3" s="29" t="s">
        <v>54</v>
      </c>
      <c r="J3" s="28" t="s">
        <v>58</v>
      </c>
      <c r="K3" s="26"/>
      <c r="L3" s="27"/>
    </row>
    <row r="4" spans="1:12" ht="19.5" x14ac:dyDescent="0.3">
      <c r="A4" s="29" t="s">
        <v>41</v>
      </c>
      <c r="B4" s="95" t="s">
        <v>46</v>
      </c>
      <c r="C4" s="95"/>
      <c r="D4" s="30" t="s">
        <v>44</v>
      </c>
      <c r="E4" s="25" t="s">
        <v>53</v>
      </c>
      <c r="F4" s="26"/>
      <c r="H4" s="29" t="s">
        <v>55</v>
      </c>
      <c r="J4" s="34" t="s">
        <v>48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59</v>
      </c>
      <c r="K5" s="33"/>
      <c r="L5" s="32"/>
    </row>
    <row r="6" spans="1:12" ht="19.5" x14ac:dyDescent="0.2">
      <c r="A6" s="29" t="s">
        <v>43</v>
      </c>
      <c r="B6" s="28" t="s">
        <v>50</v>
      </c>
      <c r="C6" s="27"/>
      <c r="D6" s="27"/>
      <c r="E6" s="26"/>
      <c r="F6" s="26"/>
      <c r="H6" s="24" t="s">
        <v>57</v>
      </c>
      <c r="J6" s="34" t="s">
        <v>60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52</v>
      </c>
      <c r="F7" s="26"/>
      <c r="H7" s="29" t="s">
        <v>61</v>
      </c>
      <c r="J7" s="34" t="s">
        <v>62</v>
      </c>
      <c r="K7" s="33"/>
      <c r="L7" s="32"/>
    </row>
    <row r="8" spans="1:12" x14ac:dyDescent="0.2">
      <c r="A8" s="6" t="s">
        <v>0</v>
      </c>
      <c r="F8" s="7" t="s">
        <v>1</v>
      </c>
      <c r="I8" s="7" t="s">
        <v>2</v>
      </c>
    </row>
    <row r="9" spans="1:12" x14ac:dyDescent="0.2">
      <c r="A9" s="6" t="s">
        <v>4</v>
      </c>
      <c r="I9" s="7" t="s">
        <v>3</v>
      </c>
    </row>
    <row r="10" spans="1:12" x14ac:dyDescent="0.2">
      <c r="A10" s="6" t="s">
        <v>5</v>
      </c>
      <c r="I10" s="7" t="s">
        <v>6</v>
      </c>
    </row>
    <row r="12" spans="1:12" x14ac:dyDescent="0.2">
      <c r="A12" s="6" t="s">
        <v>7</v>
      </c>
      <c r="C12" s="6" t="s">
        <v>8</v>
      </c>
      <c r="E12" s="7" t="s">
        <v>9</v>
      </c>
      <c r="G12" s="6" t="s">
        <v>10</v>
      </c>
      <c r="J12" s="6" t="s">
        <v>11</v>
      </c>
    </row>
    <row r="13" spans="1:12" x14ac:dyDescent="0.2">
      <c r="A13" s="6" t="s">
        <v>12</v>
      </c>
      <c r="C13" s="6" t="s">
        <v>13</v>
      </c>
      <c r="E13" s="7" t="s">
        <v>14</v>
      </c>
      <c r="G13" s="6" t="s">
        <v>15</v>
      </c>
      <c r="J13" s="6" t="s">
        <v>33</v>
      </c>
      <c r="L13" s="6" t="s">
        <v>16</v>
      </c>
    </row>
    <row r="15" spans="1:12" s="8" customFormat="1" x14ac:dyDescent="0.2">
      <c r="A15" s="96" t="s">
        <v>17</v>
      </c>
      <c r="B15" s="96" t="s">
        <v>18</v>
      </c>
      <c r="C15" s="96" t="s">
        <v>19</v>
      </c>
      <c r="D15" s="2" t="s">
        <v>20</v>
      </c>
      <c r="E15" s="1" t="s">
        <v>22</v>
      </c>
      <c r="F15" s="98" t="s">
        <v>24</v>
      </c>
      <c r="G15" s="2" t="s">
        <v>25</v>
      </c>
      <c r="H15" s="2" t="s">
        <v>26</v>
      </c>
      <c r="I15" s="1" t="s">
        <v>27</v>
      </c>
      <c r="J15" s="2" t="s">
        <v>27</v>
      </c>
      <c r="K15" s="98" t="s">
        <v>30</v>
      </c>
      <c r="L15" s="100" t="s">
        <v>31</v>
      </c>
    </row>
    <row r="16" spans="1:12" s="8" customFormat="1" x14ac:dyDescent="0.2">
      <c r="A16" s="97"/>
      <c r="B16" s="97"/>
      <c r="C16" s="97"/>
      <c r="D16" s="9" t="s">
        <v>21</v>
      </c>
      <c r="E16" s="10" t="s">
        <v>23</v>
      </c>
      <c r="F16" s="99"/>
      <c r="G16" s="9" t="s">
        <v>32</v>
      </c>
      <c r="H16" s="9" t="s">
        <v>27</v>
      </c>
      <c r="I16" s="10" t="s">
        <v>28</v>
      </c>
      <c r="J16" s="9" t="s">
        <v>29</v>
      </c>
      <c r="K16" s="99"/>
      <c r="L16" s="101"/>
    </row>
    <row r="17" spans="1:12" x14ac:dyDescent="0.2">
      <c r="A17" s="20">
        <v>224534</v>
      </c>
      <c r="B17" s="11"/>
      <c r="C17" s="11" t="s">
        <v>34</v>
      </c>
      <c r="D17" s="2" t="s">
        <v>35</v>
      </c>
      <c r="E17" s="1">
        <v>1393320</v>
      </c>
      <c r="F17" s="1">
        <v>1393320</v>
      </c>
      <c r="G17" s="2">
        <v>40</v>
      </c>
      <c r="H17" s="5">
        <v>2.5000000000000001E-2</v>
      </c>
      <c r="I17" s="12">
        <v>34833</v>
      </c>
      <c r="J17" s="11" t="s">
        <v>36</v>
      </c>
      <c r="K17" s="12">
        <v>1393320</v>
      </c>
      <c r="L17" s="11"/>
    </row>
    <row r="18" spans="1:12" x14ac:dyDescent="0.2">
      <c r="A18" s="21">
        <v>235492</v>
      </c>
      <c r="B18" s="13"/>
      <c r="C18" s="13" t="s">
        <v>37</v>
      </c>
      <c r="D18" s="13"/>
      <c r="E18" s="14"/>
      <c r="F18" s="14"/>
      <c r="G18" s="13"/>
      <c r="H18" s="13"/>
      <c r="I18" s="14">
        <v>1044990</v>
      </c>
      <c r="J18" s="14">
        <v>1044990</v>
      </c>
      <c r="K18" s="14">
        <f>(K17-J18)</f>
        <v>348330</v>
      </c>
      <c r="L18" s="13"/>
    </row>
    <row r="19" spans="1:12" x14ac:dyDescent="0.2">
      <c r="A19" s="22">
        <v>235857</v>
      </c>
      <c r="B19" s="15"/>
      <c r="C19" s="15" t="s">
        <v>38</v>
      </c>
      <c r="D19" s="15"/>
      <c r="E19" s="16"/>
      <c r="F19" s="16"/>
      <c r="G19" s="15"/>
      <c r="H19" s="15"/>
      <c r="I19" s="16">
        <f>I17</f>
        <v>34833</v>
      </c>
      <c r="J19" s="16">
        <f>(J18+I19)</f>
        <v>1079823</v>
      </c>
      <c r="K19" s="14">
        <f>(K18-I19)</f>
        <v>313497</v>
      </c>
      <c r="L19" s="15"/>
    </row>
    <row r="20" spans="1:12" x14ac:dyDescent="0.2">
      <c r="A20" s="22">
        <v>236222</v>
      </c>
      <c r="B20" s="15"/>
      <c r="C20" s="15" t="s">
        <v>38</v>
      </c>
      <c r="D20" s="15"/>
      <c r="E20" s="16"/>
      <c r="F20" s="16"/>
      <c r="G20" s="15"/>
      <c r="H20" s="15"/>
      <c r="I20" s="16">
        <v>34833</v>
      </c>
      <c r="J20" s="16">
        <f t="shared" ref="J20:J30" si="0">(J19+I20)</f>
        <v>1114656</v>
      </c>
      <c r="K20" s="14">
        <f t="shared" ref="K20:K27" si="1">(K19-I20)</f>
        <v>278664</v>
      </c>
      <c r="L20" s="15"/>
    </row>
    <row r="21" spans="1:12" x14ac:dyDescent="0.2">
      <c r="A21" s="22">
        <v>236587</v>
      </c>
      <c r="B21" s="15"/>
      <c r="C21" s="15" t="s">
        <v>38</v>
      </c>
      <c r="D21" s="15"/>
      <c r="E21" s="16"/>
      <c r="F21" s="16"/>
      <c r="G21" s="15"/>
      <c r="H21" s="15"/>
      <c r="I21" s="16">
        <v>34833</v>
      </c>
      <c r="J21" s="16">
        <f t="shared" si="0"/>
        <v>1149489</v>
      </c>
      <c r="K21" s="14">
        <f t="shared" si="1"/>
        <v>243831</v>
      </c>
      <c r="L21" s="15"/>
    </row>
    <row r="22" spans="1:12" x14ac:dyDescent="0.2">
      <c r="A22" s="22">
        <v>236953</v>
      </c>
      <c r="B22" s="15"/>
      <c r="C22" s="15" t="s">
        <v>38</v>
      </c>
      <c r="D22" s="15"/>
      <c r="E22" s="16"/>
      <c r="F22" s="16"/>
      <c r="G22" s="15"/>
      <c r="H22" s="15"/>
      <c r="I22" s="16">
        <f t="shared" ref="I22:I32" si="2">I20</f>
        <v>34833</v>
      </c>
      <c r="J22" s="16">
        <f t="shared" si="0"/>
        <v>1184322</v>
      </c>
      <c r="K22" s="14">
        <f t="shared" si="1"/>
        <v>208998</v>
      </c>
      <c r="L22" s="15"/>
    </row>
    <row r="23" spans="1:12" x14ac:dyDescent="0.2">
      <c r="A23" s="22">
        <v>237318</v>
      </c>
      <c r="B23" s="15"/>
      <c r="C23" s="15" t="s">
        <v>38</v>
      </c>
      <c r="D23" s="15"/>
      <c r="E23" s="16"/>
      <c r="F23" s="16"/>
      <c r="G23" s="15"/>
      <c r="H23" s="15"/>
      <c r="I23" s="16">
        <f t="shared" si="2"/>
        <v>34833</v>
      </c>
      <c r="J23" s="16">
        <f t="shared" si="0"/>
        <v>1219155</v>
      </c>
      <c r="K23" s="14">
        <f t="shared" si="1"/>
        <v>174165</v>
      </c>
      <c r="L23" s="15"/>
    </row>
    <row r="24" spans="1:12" x14ac:dyDescent="0.2">
      <c r="A24" s="22">
        <v>237683</v>
      </c>
      <c r="B24" s="15"/>
      <c r="C24" s="15" t="s">
        <v>38</v>
      </c>
      <c r="D24" s="15"/>
      <c r="E24" s="16"/>
      <c r="F24" s="16"/>
      <c r="G24" s="15"/>
      <c r="H24" s="15"/>
      <c r="I24" s="16">
        <f t="shared" si="2"/>
        <v>34833</v>
      </c>
      <c r="J24" s="16">
        <f t="shared" si="0"/>
        <v>1253988</v>
      </c>
      <c r="K24" s="14">
        <f t="shared" si="1"/>
        <v>139332</v>
      </c>
      <c r="L24" s="15"/>
    </row>
    <row r="25" spans="1:12" x14ac:dyDescent="0.2">
      <c r="A25" s="22">
        <v>238048</v>
      </c>
      <c r="B25" s="15"/>
      <c r="C25" s="15" t="s">
        <v>38</v>
      </c>
      <c r="D25" s="15"/>
      <c r="E25" s="16"/>
      <c r="F25" s="16"/>
      <c r="G25" s="15"/>
      <c r="H25" s="15"/>
      <c r="I25" s="16">
        <f t="shared" si="2"/>
        <v>34833</v>
      </c>
      <c r="J25" s="16">
        <f t="shared" si="0"/>
        <v>1288821</v>
      </c>
      <c r="K25" s="14">
        <f t="shared" si="1"/>
        <v>104499</v>
      </c>
      <c r="L25" s="15"/>
    </row>
    <row r="26" spans="1:12" x14ac:dyDescent="0.2">
      <c r="A26" s="22">
        <v>238414</v>
      </c>
      <c r="B26" s="15"/>
      <c r="C26" s="15" t="s">
        <v>38</v>
      </c>
      <c r="D26" s="15"/>
      <c r="E26" s="16"/>
      <c r="F26" s="16"/>
      <c r="G26" s="15"/>
      <c r="H26" s="15"/>
      <c r="I26" s="16">
        <f t="shared" si="2"/>
        <v>34833</v>
      </c>
      <c r="J26" s="16">
        <f t="shared" si="0"/>
        <v>1323654</v>
      </c>
      <c r="K26" s="14">
        <f t="shared" si="1"/>
        <v>69666</v>
      </c>
      <c r="L26" s="15"/>
    </row>
    <row r="27" spans="1:12" x14ac:dyDescent="0.2">
      <c r="A27" s="22">
        <v>238779</v>
      </c>
      <c r="B27" s="15"/>
      <c r="C27" s="15" t="s">
        <v>38</v>
      </c>
      <c r="D27" s="15"/>
      <c r="E27" s="16"/>
      <c r="F27" s="16"/>
      <c r="G27" s="15"/>
      <c r="H27" s="15"/>
      <c r="I27" s="16">
        <f t="shared" si="2"/>
        <v>34833</v>
      </c>
      <c r="J27" s="16">
        <f t="shared" si="0"/>
        <v>1358487</v>
      </c>
      <c r="K27" s="14">
        <f t="shared" si="1"/>
        <v>34833</v>
      </c>
      <c r="L27" s="15"/>
    </row>
    <row r="28" spans="1:12" x14ac:dyDescent="0.2">
      <c r="A28" s="22">
        <v>239144</v>
      </c>
      <c r="B28" s="15"/>
      <c r="C28" s="15" t="s">
        <v>38</v>
      </c>
      <c r="D28" s="15"/>
      <c r="E28" s="16"/>
      <c r="F28" s="16"/>
      <c r="G28" s="15"/>
      <c r="H28" s="15"/>
      <c r="I28" s="16">
        <f t="shared" si="2"/>
        <v>34833</v>
      </c>
      <c r="J28" s="16">
        <f t="shared" si="0"/>
        <v>1393320</v>
      </c>
      <c r="K28" s="17" t="s">
        <v>36</v>
      </c>
      <c r="L28" s="15"/>
    </row>
    <row r="29" spans="1:12" x14ac:dyDescent="0.2">
      <c r="A29" s="22">
        <v>239509</v>
      </c>
      <c r="B29" s="15"/>
      <c r="C29" s="15" t="s">
        <v>38</v>
      </c>
      <c r="D29" s="15"/>
      <c r="E29" s="16"/>
      <c r="F29" s="16"/>
      <c r="G29" s="15"/>
      <c r="H29" s="15"/>
      <c r="I29" s="16">
        <f t="shared" si="2"/>
        <v>34833</v>
      </c>
      <c r="J29" s="16">
        <f t="shared" si="0"/>
        <v>1428153</v>
      </c>
      <c r="K29" s="17" t="s">
        <v>36</v>
      </c>
      <c r="L29" s="15"/>
    </row>
    <row r="30" spans="1:12" x14ac:dyDescent="0.2">
      <c r="A30" s="22">
        <v>239875</v>
      </c>
      <c r="B30" s="15"/>
      <c r="C30" s="15" t="s">
        <v>38</v>
      </c>
      <c r="D30" s="15"/>
      <c r="E30" s="16"/>
      <c r="F30" s="16"/>
      <c r="G30" s="15"/>
      <c r="H30" s="15"/>
      <c r="I30" s="16">
        <f t="shared" si="2"/>
        <v>34833</v>
      </c>
      <c r="J30" s="16">
        <f t="shared" si="0"/>
        <v>1462986</v>
      </c>
      <c r="K30" s="17" t="s">
        <v>36</v>
      </c>
      <c r="L30" s="15"/>
    </row>
    <row r="31" spans="1:12" x14ac:dyDescent="0.2">
      <c r="A31" s="23"/>
      <c r="B31" s="15"/>
      <c r="C31" s="15" t="s">
        <v>39</v>
      </c>
      <c r="D31" s="15"/>
      <c r="E31" s="16"/>
      <c r="F31" s="16"/>
      <c r="G31" s="15"/>
      <c r="H31" s="15"/>
      <c r="I31" s="16">
        <f t="shared" si="2"/>
        <v>34833</v>
      </c>
      <c r="J31" s="16"/>
      <c r="K31" s="16"/>
      <c r="L31" s="15"/>
    </row>
    <row r="32" spans="1:12" x14ac:dyDescent="0.2">
      <c r="A32" s="15"/>
      <c r="B32" s="15"/>
      <c r="C32" s="15"/>
      <c r="D32" s="15"/>
      <c r="E32" s="16"/>
      <c r="F32" s="16"/>
      <c r="G32" s="15"/>
      <c r="H32" s="15"/>
      <c r="I32" s="16">
        <f t="shared" si="2"/>
        <v>34833</v>
      </c>
      <c r="J32" s="15"/>
      <c r="K32" s="16"/>
      <c r="L32" s="15"/>
    </row>
    <row r="33" spans="1:12" x14ac:dyDescent="0.2">
      <c r="A33" s="15"/>
      <c r="B33" s="15"/>
      <c r="C33" s="15"/>
      <c r="D33" s="15"/>
      <c r="E33" s="16"/>
      <c r="F33" s="16"/>
      <c r="G33" s="15"/>
      <c r="H33" s="15"/>
      <c r="I33" s="16"/>
      <c r="J33" s="15"/>
      <c r="K33" s="16"/>
      <c r="L33" s="15"/>
    </row>
    <row r="34" spans="1:12" x14ac:dyDescent="0.2">
      <c r="A34" s="18"/>
      <c r="B34" s="18"/>
      <c r="C34" s="18"/>
      <c r="D34" s="18"/>
      <c r="E34" s="19"/>
      <c r="F34" s="19"/>
      <c r="G34" s="18"/>
      <c r="H34" s="18"/>
      <c r="I34" s="19"/>
      <c r="J34" s="18"/>
      <c r="K34" s="19"/>
      <c r="L34" s="18"/>
    </row>
  </sheetData>
  <mergeCells count="9">
    <mergeCell ref="A1:L1"/>
    <mergeCell ref="B3:C3"/>
    <mergeCell ref="B4:C4"/>
    <mergeCell ref="A15:A16"/>
    <mergeCell ref="B15:B16"/>
    <mergeCell ref="C15:C16"/>
    <mergeCell ref="F15:F16"/>
    <mergeCell ref="K15:K16"/>
    <mergeCell ref="L15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3" workbookViewId="0">
      <selection activeCell="N12" sqref="N12"/>
    </sheetView>
  </sheetViews>
  <sheetFormatPr defaultColWidth="9.125" defaultRowHeight="18.75" x14ac:dyDescent="0.2"/>
  <cols>
    <col min="1" max="1" width="10.25" style="6" customWidth="1"/>
    <col min="2" max="2" width="9.125" style="6"/>
    <col min="3" max="3" width="19.625" style="6" customWidth="1"/>
    <col min="4" max="4" width="9.125" style="6"/>
    <col min="5" max="6" width="11" style="7" customWidth="1"/>
    <col min="7" max="7" width="8.375" style="6" customWidth="1"/>
    <col min="8" max="8" width="9.125" style="6" customWidth="1"/>
    <col min="9" max="9" width="10.75" style="7" customWidth="1"/>
    <col min="10" max="10" width="10.75" style="6" customWidth="1"/>
    <col min="11" max="11" width="10.75" style="7" customWidth="1"/>
    <col min="12" max="12" width="19.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45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46</v>
      </c>
      <c r="C4" s="95"/>
      <c r="D4" s="30" t="s">
        <v>44</v>
      </c>
      <c r="E4" s="25" t="s">
        <v>53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82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77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52</v>
      </c>
      <c r="F7" s="26"/>
      <c r="H7" s="29" t="s">
        <v>61</v>
      </c>
      <c r="J7" s="34" t="s">
        <v>78</v>
      </c>
      <c r="K7" s="33"/>
      <c r="L7" s="32"/>
    </row>
    <row r="8" spans="1:12" ht="9.75" customHeight="1" x14ac:dyDescent="0.2"/>
    <row r="9" spans="1:12" s="8" customFormat="1" x14ac:dyDescent="0.2">
      <c r="A9" s="96" t="s">
        <v>17</v>
      </c>
      <c r="B9" s="96" t="s">
        <v>18</v>
      </c>
      <c r="C9" s="96" t="s">
        <v>19</v>
      </c>
      <c r="D9" s="66" t="s">
        <v>20</v>
      </c>
      <c r="E9" s="65" t="s">
        <v>22</v>
      </c>
      <c r="F9" s="98" t="s">
        <v>24</v>
      </c>
      <c r="G9" s="66" t="s">
        <v>25</v>
      </c>
      <c r="H9" s="66" t="s">
        <v>26</v>
      </c>
      <c r="I9" s="65" t="s">
        <v>27</v>
      </c>
      <c r="J9" s="66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224534</v>
      </c>
      <c r="B11" s="39"/>
      <c r="C11" s="39" t="s">
        <v>34</v>
      </c>
      <c r="D11" s="40" t="s">
        <v>35</v>
      </c>
      <c r="E11" s="41">
        <v>1393320</v>
      </c>
      <c r="F11" s="41">
        <v>1393320</v>
      </c>
      <c r="G11" s="49" t="s">
        <v>64</v>
      </c>
      <c r="H11" s="42">
        <v>2.5000000000000001E-2</v>
      </c>
      <c r="I11" s="43">
        <v>34833</v>
      </c>
      <c r="J11" s="40" t="s">
        <v>36</v>
      </c>
      <c r="K11" s="43">
        <v>1393320</v>
      </c>
      <c r="L11" s="40" t="s">
        <v>186</v>
      </c>
    </row>
    <row r="12" spans="1:12" x14ac:dyDescent="0.2">
      <c r="A12" s="67">
        <v>238779</v>
      </c>
      <c r="B12" s="13"/>
      <c r="C12" s="13" t="s">
        <v>165</v>
      </c>
      <c r="D12" s="13"/>
      <c r="E12" s="14"/>
      <c r="F12" s="14"/>
      <c r="G12" s="69">
        <v>39</v>
      </c>
      <c r="H12" s="68">
        <v>2.5000000000000001E-2</v>
      </c>
      <c r="I12" s="14">
        <v>1358487</v>
      </c>
      <c r="J12" s="90">
        <v>1358487</v>
      </c>
      <c r="K12" s="14">
        <f>(K11-J12)</f>
        <v>34833</v>
      </c>
      <c r="L12" s="13"/>
    </row>
    <row r="13" spans="1:12" x14ac:dyDescent="0.2">
      <c r="A13" s="22">
        <v>239144</v>
      </c>
      <c r="B13" s="15"/>
      <c r="C13" s="15" t="s">
        <v>38</v>
      </c>
      <c r="D13" s="15"/>
      <c r="E13" s="16"/>
      <c r="F13" s="16"/>
      <c r="G13" s="23">
        <v>40</v>
      </c>
      <c r="H13" s="68">
        <v>2.5000000000000001E-2</v>
      </c>
      <c r="I13" s="16">
        <f>I11</f>
        <v>34833</v>
      </c>
      <c r="J13" s="91">
        <f>(J12+I13)</f>
        <v>1393320</v>
      </c>
      <c r="K13" s="83" t="s">
        <v>64</v>
      </c>
      <c r="L13" s="15"/>
    </row>
    <row r="14" spans="1:12" x14ac:dyDescent="0.2">
      <c r="A14" s="22">
        <v>239509</v>
      </c>
      <c r="B14" s="15"/>
      <c r="C14" s="15" t="s">
        <v>38</v>
      </c>
      <c r="D14" s="15"/>
      <c r="E14" s="16"/>
      <c r="F14" s="16"/>
      <c r="G14" s="23">
        <v>41</v>
      </c>
      <c r="H14" s="68">
        <v>2.5000000000000001E-2</v>
      </c>
      <c r="I14" s="16">
        <v>34833</v>
      </c>
      <c r="J14" s="91">
        <f t="shared" ref="J14:J31" si="0">(J13+I14)</f>
        <v>1428153</v>
      </c>
      <c r="K14" s="72"/>
      <c r="L14" s="15"/>
    </row>
    <row r="15" spans="1:12" x14ac:dyDescent="0.2">
      <c r="A15" s="22">
        <v>239875</v>
      </c>
      <c r="B15" s="15"/>
      <c r="C15" s="15" t="s">
        <v>38</v>
      </c>
      <c r="D15" s="15"/>
      <c r="E15" s="16"/>
      <c r="F15" s="16"/>
      <c r="G15" s="23">
        <v>42</v>
      </c>
      <c r="H15" s="68">
        <v>2.5000000000000001E-2</v>
      </c>
      <c r="I15" s="16">
        <v>34833</v>
      </c>
      <c r="J15" s="91">
        <f t="shared" si="0"/>
        <v>1462986</v>
      </c>
      <c r="K15" s="72"/>
      <c r="L15" s="15"/>
    </row>
    <row r="16" spans="1:12" x14ac:dyDescent="0.2">
      <c r="A16" s="22">
        <v>240240</v>
      </c>
      <c r="B16" s="15"/>
      <c r="C16" s="15" t="s">
        <v>96</v>
      </c>
      <c r="D16" s="15"/>
      <c r="E16" s="16"/>
      <c r="F16" s="16"/>
      <c r="G16" s="23">
        <v>43</v>
      </c>
      <c r="H16" s="89">
        <v>2.5000000000000001E-2</v>
      </c>
      <c r="I16" s="16">
        <v>34833</v>
      </c>
      <c r="J16" s="91">
        <f t="shared" si="0"/>
        <v>1497819</v>
      </c>
      <c r="K16" s="73">
        <v>1</v>
      </c>
      <c r="L16" s="52" t="s">
        <v>65</v>
      </c>
    </row>
    <row r="17" spans="1:12" x14ac:dyDescent="0.2">
      <c r="A17" s="22"/>
      <c r="B17" s="15"/>
      <c r="C17" s="15"/>
      <c r="D17" s="15"/>
      <c r="E17" s="16"/>
      <c r="F17" s="16"/>
      <c r="G17" s="23"/>
      <c r="H17" s="70"/>
      <c r="I17" s="16"/>
      <c r="J17" s="91"/>
      <c r="K17" s="73"/>
      <c r="L17" s="52" t="s">
        <v>66</v>
      </c>
    </row>
    <row r="18" spans="1:12" x14ac:dyDescent="0.2">
      <c r="A18" s="22"/>
      <c r="B18" s="15"/>
      <c r="C18" s="15"/>
      <c r="D18" s="15"/>
      <c r="E18" s="16"/>
      <c r="F18" s="16"/>
      <c r="G18" s="23"/>
      <c r="H18" s="70"/>
      <c r="I18" s="16"/>
      <c r="J18" s="91"/>
      <c r="K18" s="73"/>
      <c r="L18" s="52" t="s">
        <v>67</v>
      </c>
    </row>
    <row r="19" spans="1:12" x14ac:dyDescent="0.2">
      <c r="A19" s="102">
        <v>240438</v>
      </c>
      <c r="B19" s="55"/>
      <c r="C19" s="55" t="s">
        <v>166</v>
      </c>
      <c r="D19" s="55"/>
      <c r="E19" s="86">
        <v>290000</v>
      </c>
      <c r="F19" s="86">
        <v>290000</v>
      </c>
      <c r="G19" s="104">
        <v>44</v>
      </c>
      <c r="H19" s="88">
        <v>2.5000000000000001E-2</v>
      </c>
      <c r="I19" s="85">
        <v>7250.0249999999996</v>
      </c>
      <c r="J19" s="91">
        <f>(J16+I19)</f>
        <v>1505069.0249999999</v>
      </c>
      <c r="K19" s="85">
        <v>290001</v>
      </c>
      <c r="L19" s="55"/>
    </row>
    <row r="20" spans="1:12" x14ac:dyDescent="0.2">
      <c r="A20" s="103"/>
      <c r="B20" s="13"/>
      <c r="C20" s="13" t="s">
        <v>167</v>
      </c>
      <c r="D20" s="13"/>
      <c r="E20" s="14"/>
      <c r="F20" s="14"/>
      <c r="G20" s="105"/>
      <c r="H20" s="89"/>
      <c r="I20" s="77"/>
      <c r="J20" s="92"/>
      <c r="K20" s="77"/>
      <c r="L20" s="13"/>
    </row>
    <row r="21" spans="1:12" x14ac:dyDescent="0.2">
      <c r="A21" s="22">
        <v>240803</v>
      </c>
      <c r="B21" s="15"/>
      <c r="C21" s="15" t="s">
        <v>38</v>
      </c>
      <c r="D21" s="15"/>
      <c r="E21" s="16"/>
      <c r="F21" s="16"/>
      <c r="G21" s="23">
        <v>45</v>
      </c>
      <c r="H21" s="68">
        <v>2.5000000000000001E-2</v>
      </c>
      <c r="I21" s="81">
        <v>7250.03</v>
      </c>
      <c r="J21" s="91">
        <f>(J19+I21)</f>
        <v>1512319.0549999999</v>
      </c>
      <c r="K21" s="82">
        <f>(K19-I21)</f>
        <v>282750.96999999997</v>
      </c>
      <c r="L21" s="15"/>
    </row>
    <row r="22" spans="1:12" x14ac:dyDescent="0.2">
      <c r="A22" s="22">
        <v>241169</v>
      </c>
      <c r="B22" s="15"/>
      <c r="C22" s="15" t="s">
        <v>38</v>
      </c>
      <c r="D22" s="15"/>
      <c r="E22" s="74"/>
      <c r="F22" s="74"/>
      <c r="G22" s="23">
        <v>46</v>
      </c>
      <c r="H22" s="68">
        <v>2.5000000000000001E-2</v>
      </c>
      <c r="I22" s="81">
        <v>7250.03</v>
      </c>
      <c r="J22" s="91">
        <f t="shared" si="0"/>
        <v>1519569.085</v>
      </c>
      <c r="K22" s="82">
        <f t="shared" ref="K22:K31" si="1">(K21-I22)</f>
        <v>275500.93999999994</v>
      </c>
      <c r="L22" s="15"/>
    </row>
    <row r="23" spans="1:12" x14ac:dyDescent="0.2">
      <c r="A23" s="22">
        <v>241534</v>
      </c>
      <c r="B23" s="15"/>
      <c r="C23" s="15" t="s">
        <v>38</v>
      </c>
      <c r="D23" s="15"/>
      <c r="E23" s="74"/>
      <c r="F23" s="74"/>
      <c r="G23" s="23">
        <v>47</v>
      </c>
      <c r="H23" s="68">
        <v>2.5000000000000001E-2</v>
      </c>
      <c r="I23" s="81">
        <v>7250</v>
      </c>
      <c r="J23" s="81">
        <f t="shared" si="0"/>
        <v>1526819.085</v>
      </c>
      <c r="K23" s="82">
        <f t="shared" si="1"/>
        <v>268250.93999999994</v>
      </c>
      <c r="L23" s="15"/>
    </row>
    <row r="24" spans="1:12" x14ac:dyDescent="0.2">
      <c r="A24" s="102">
        <v>242034</v>
      </c>
      <c r="B24" s="55"/>
      <c r="C24" s="55" t="s">
        <v>168</v>
      </c>
      <c r="D24" s="55"/>
      <c r="E24" s="85">
        <v>35310</v>
      </c>
      <c r="F24" s="85">
        <v>35310</v>
      </c>
      <c r="G24" s="104">
        <v>48</v>
      </c>
      <c r="H24" s="106">
        <v>2.5000000000000001E-2</v>
      </c>
      <c r="I24" s="85">
        <v>7589.0235000000002</v>
      </c>
      <c r="J24" s="80">
        <f t="shared" si="0"/>
        <v>1534408.1084999999</v>
      </c>
      <c r="K24" s="85">
        <v>303560.94</v>
      </c>
      <c r="L24" s="55"/>
    </row>
    <row r="25" spans="1:12" x14ac:dyDescent="0.2">
      <c r="A25" s="103"/>
      <c r="B25" s="13"/>
      <c r="C25" s="13" t="s">
        <v>169</v>
      </c>
      <c r="D25" s="13"/>
      <c r="E25" s="77"/>
      <c r="F25" s="77"/>
      <c r="G25" s="105"/>
      <c r="H25" s="107"/>
      <c r="I25" s="77"/>
      <c r="J25" s="82"/>
      <c r="K25" s="77"/>
      <c r="L25" s="13"/>
    </row>
    <row r="26" spans="1:12" x14ac:dyDescent="0.2">
      <c r="A26" s="22">
        <v>242399</v>
      </c>
      <c r="B26" s="15"/>
      <c r="C26" s="15" t="s">
        <v>38</v>
      </c>
      <c r="D26" s="15"/>
      <c r="E26" s="74"/>
      <c r="F26" s="74"/>
      <c r="G26" s="23">
        <v>49</v>
      </c>
      <c r="H26" s="68">
        <v>2.5000000000000001E-2</v>
      </c>
      <c r="I26" s="81">
        <v>7589.0235000000002</v>
      </c>
      <c r="J26" s="81">
        <f>(J24+I26)</f>
        <v>1541997.1319999998</v>
      </c>
      <c r="K26" s="82">
        <f>(K24-I26)</f>
        <v>295971.91649999999</v>
      </c>
      <c r="L26" s="15"/>
    </row>
    <row r="27" spans="1:12" x14ac:dyDescent="0.2">
      <c r="A27" s="102">
        <v>242756</v>
      </c>
      <c r="B27" s="55"/>
      <c r="C27" s="55" t="s">
        <v>170</v>
      </c>
      <c r="D27" s="55"/>
      <c r="E27" s="85">
        <v>44940</v>
      </c>
      <c r="F27" s="85">
        <v>44940</v>
      </c>
      <c r="G27" s="104">
        <v>50</v>
      </c>
      <c r="H27" s="106">
        <v>2.5000000000000001E-2</v>
      </c>
      <c r="I27" s="85">
        <v>8522.7980000000007</v>
      </c>
      <c r="J27" s="80">
        <f>(J26+I27)</f>
        <v>1550519.9299999997</v>
      </c>
      <c r="K27" s="85">
        <v>340911.92</v>
      </c>
      <c r="L27" s="71"/>
    </row>
    <row r="28" spans="1:12" x14ac:dyDescent="0.2">
      <c r="A28" s="103"/>
      <c r="B28" s="13"/>
      <c r="C28" s="13" t="s">
        <v>171</v>
      </c>
      <c r="D28" s="13"/>
      <c r="E28" s="77"/>
      <c r="F28" s="77"/>
      <c r="G28" s="105"/>
      <c r="H28" s="107"/>
      <c r="I28" s="77"/>
      <c r="J28" s="82"/>
      <c r="K28" s="77"/>
      <c r="L28" s="58"/>
    </row>
    <row r="29" spans="1:12" x14ac:dyDescent="0.2">
      <c r="A29" s="22">
        <v>243121</v>
      </c>
      <c r="B29" s="15"/>
      <c r="C29" s="15" t="s">
        <v>38</v>
      </c>
      <c r="D29" s="15"/>
      <c r="E29" s="74"/>
      <c r="F29" s="74"/>
      <c r="G29" s="23">
        <v>51</v>
      </c>
      <c r="H29" s="68">
        <v>2.5000000000000001E-2</v>
      </c>
      <c r="I29" s="76">
        <v>8522.7980000000007</v>
      </c>
      <c r="J29" s="81">
        <f>(J27+I29)</f>
        <v>1559042.7279999997</v>
      </c>
      <c r="K29" s="77">
        <f>(K27-I29)</f>
        <v>332389.12199999997</v>
      </c>
      <c r="L29" s="52"/>
    </row>
    <row r="30" spans="1:12" x14ac:dyDescent="0.2">
      <c r="A30" s="22">
        <v>243547</v>
      </c>
      <c r="B30" s="15"/>
      <c r="C30" s="15" t="s">
        <v>38</v>
      </c>
      <c r="D30" s="15"/>
      <c r="E30" s="74"/>
      <c r="F30" s="74"/>
      <c r="G30" s="23">
        <v>52</v>
      </c>
      <c r="H30" s="68">
        <v>2.5000000000000001E-2</v>
      </c>
      <c r="I30" s="76">
        <f>I27</f>
        <v>8522.7980000000007</v>
      </c>
      <c r="J30" s="81">
        <f t="shared" si="0"/>
        <v>1567565.5259999996</v>
      </c>
      <c r="K30" s="77">
        <f t="shared" si="1"/>
        <v>323866.32399999996</v>
      </c>
      <c r="L30" s="52"/>
    </row>
    <row r="31" spans="1:12" x14ac:dyDescent="0.2">
      <c r="A31" s="22">
        <v>243912</v>
      </c>
      <c r="B31" s="55"/>
      <c r="C31" s="15" t="s">
        <v>38</v>
      </c>
      <c r="D31" s="55"/>
      <c r="E31" s="75"/>
      <c r="F31" s="75"/>
      <c r="G31" s="78">
        <v>53</v>
      </c>
      <c r="H31" s="68">
        <v>2.5000000000000001E-2</v>
      </c>
      <c r="I31" s="76">
        <f t="shared" ref="I31" si="2">I29</f>
        <v>8522.7980000000007</v>
      </c>
      <c r="J31" s="81">
        <f t="shared" si="0"/>
        <v>1576088.3239999996</v>
      </c>
      <c r="K31" s="77">
        <f t="shared" si="1"/>
        <v>315343.52599999995</v>
      </c>
      <c r="L31" s="71"/>
    </row>
    <row r="32" spans="1:12" x14ac:dyDescent="0.2">
      <c r="A32" s="18"/>
      <c r="B32" s="18"/>
      <c r="C32" s="18"/>
      <c r="D32" s="18"/>
      <c r="E32" s="19"/>
      <c r="F32" s="19"/>
      <c r="G32" s="18"/>
      <c r="H32" s="18"/>
      <c r="I32" s="19"/>
      <c r="J32" s="18"/>
      <c r="K32" s="19"/>
      <c r="L32" s="18"/>
    </row>
  </sheetData>
  <mergeCells count="17">
    <mergeCell ref="A19:A20"/>
    <mergeCell ref="G19:G20"/>
    <mergeCell ref="A27:A28"/>
    <mergeCell ref="G27:G28"/>
    <mergeCell ref="H27:H28"/>
    <mergeCell ref="A24:A25"/>
    <mergeCell ref="G24:G25"/>
    <mergeCell ref="H24:H25"/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4" right="0.28999999999999998" top="0.42" bottom="0.38" header="0.31496062992125984" footer="0.31496062992125984"/>
  <pageSetup paperSize="9" scale="90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14" sqref="C14"/>
    </sheetView>
  </sheetViews>
  <sheetFormatPr defaultRowHeight="21" x14ac:dyDescent="0.35"/>
  <cols>
    <col min="1" max="1" width="8.125" style="123" customWidth="1"/>
    <col min="2" max="2" width="12.375" style="123" customWidth="1"/>
    <col min="3" max="3" width="71.125" style="123" customWidth="1"/>
    <col min="4" max="4" width="13.25" style="123" customWidth="1"/>
    <col min="5" max="5" width="34.125" style="123" customWidth="1"/>
    <col min="6" max="16384" width="9" style="123"/>
  </cols>
  <sheetData>
    <row r="1" spans="1:5" ht="26.25" customHeight="1" x14ac:dyDescent="0.35">
      <c r="A1" s="120" t="s">
        <v>193</v>
      </c>
      <c r="B1" s="121"/>
      <c r="C1" s="121"/>
      <c r="D1" s="121"/>
      <c r="E1" s="122"/>
    </row>
    <row r="2" spans="1:5" ht="23.25" x14ac:dyDescent="0.35">
      <c r="A2" s="124" t="s">
        <v>34</v>
      </c>
      <c r="B2" s="125"/>
      <c r="C2" s="125"/>
      <c r="D2" s="125"/>
      <c r="E2" s="126"/>
    </row>
    <row r="3" spans="1:5" ht="23.25" x14ac:dyDescent="0.35">
      <c r="A3" s="127"/>
      <c r="B3" s="127"/>
      <c r="C3" s="127"/>
      <c r="D3" s="127"/>
      <c r="E3" s="127"/>
    </row>
    <row r="4" spans="1:5" x14ac:dyDescent="0.35">
      <c r="A4" s="128" t="s">
        <v>194</v>
      </c>
      <c r="B4" s="128" t="s">
        <v>195</v>
      </c>
      <c r="C4" s="128" t="s">
        <v>19</v>
      </c>
      <c r="D4" s="128" t="s">
        <v>196</v>
      </c>
      <c r="E4" s="128" t="s">
        <v>31</v>
      </c>
    </row>
    <row r="5" spans="1:5" x14ac:dyDescent="0.35">
      <c r="A5" s="128"/>
      <c r="B5" s="128"/>
      <c r="C5" s="128"/>
      <c r="D5" s="128"/>
      <c r="E5" s="128"/>
    </row>
    <row r="6" spans="1:5" x14ac:dyDescent="0.35">
      <c r="A6" s="129">
        <v>1</v>
      </c>
      <c r="B6" s="130" t="s">
        <v>197</v>
      </c>
      <c r="C6" s="131" t="s">
        <v>198</v>
      </c>
      <c r="D6" s="132">
        <v>290000</v>
      </c>
      <c r="E6" s="131" t="s">
        <v>199</v>
      </c>
    </row>
    <row r="7" spans="1:5" x14ac:dyDescent="0.35">
      <c r="A7" s="133"/>
      <c r="B7" s="134"/>
      <c r="C7" s="135"/>
      <c r="D7" s="136"/>
      <c r="E7" s="135"/>
    </row>
    <row r="8" spans="1:5" x14ac:dyDescent="0.35">
      <c r="A8" s="129">
        <v>2</v>
      </c>
      <c r="B8" s="130" t="s">
        <v>200</v>
      </c>
      <c r="C8" s="131" t="s">
        <v>201</v>
      </c>
      <c r="D8" s="137">
        <v>35310</v>
      </c>
      <c r="E8" s="131" t="s">
        <v>202</v>
      </c>
    </row>
    <row r="9" spans="1:5" x14ac:dyDescent="0.35">
      <c r="A9" s="138"/>
      <c r="B9" s="138"/>
      <c r="C9" s="139" t="s">
        <v>203</v>
      </c>
      <c r="D9" s="140"/>
      <c r="E9" s="139"/>
    </row>
    <row r="10" spans="1:5" x14ac:dyDescent="0.35">
      <c r="A10" s="133"/>
      <c r="B10" s="133"/>
      <c r="C10" s="135"/>
      <c r="D10" s="141"/>
      <c r="E10" s="135"/>
    </row>
    <row r="11" spans="1:5" x14ac:dyDescent="0.35">
      <c r="A11" s="129">
        <v>3</v>
      </c>
      <c r="B11" s="130" t="s">
        <v>204</v>
      </c>
      <c r="C11" s="131" t="s">
        <v>205</v>
      </c>
      <c r="D11" s="137">
        <v>44940</v>
      </c>
      <c r="E11" s="131" t="s">
        <v>202</v>
      </c>
    </row>
    <row r="12" spans="1:5" x14ac:dyDescent="0.35">
      <c r="A12" s="133"/>
      <c r="B12" s="133"/>
      <c r="C12" s="135"/>
      <c r="D12" s="141"/>
      <c r="E12" s="135"/>
    </row>
    <row r="13" spans="1:5" x14ac:dyDescent="0.35">
      <c r="A13" s="129"/>
      <c r="B13" s="129"/>
      <c r="C13" s="131"/>
      <c r="D13" s="137"/>
      <c r="E13" s="142"/>
    </row>
    <row r="14" spans="1:5" x14ac:dyDescent="0.35">
      <c r="A14" s="138"/>
      <c r="B14" s="143"/>
      <c r="C14" s="139"/>
      <c r="D14" s="140"/>
      <c r="E14" s="139"/>
    </row>
    <row r="15" spans="1:5" x14ac:dyDescent="0.35">
      <c r="A15" s="138"/>
      <c r="B15" s="138"/>
      <c r="C15" s="139"/>
      <c r="D15" s="140"/>
      <c r="E15" s="144"/>
    </row>
    <row r="16" spans="1:5" x14ac:dyDescent="0.35">
      <c r="A16" s="138"/>
      <c r="B16" s="138"/>
      <c r="C16" s="139"/>
      <c r="D16" s="140"/>
      <c r="E16" s="144"/>
    </row>
    <row r="17" spans="1:5" ht="23.25" x14ac:dyDescent="0.35">
      <c r="A17" s="145"/>
      <c r="B17" s="145"/>
      <c r="C17" s="146"/>
      <c r="D17" s="147"/>
      <c r="E17" s="144"/>
    </row>
    <row r="18" spans="1:5" ht="23.25" x14ac:dyDescent="0.35">
      <c r="A18" s="145"/>
      <c r="B18" s="145"/>
      <c r="C18" s="146"/>
      <c r="D18" s="147"/>
      <c r="E18" s="144"/>
    </row>
    <row r="19" spans="1:5" x14ac:dyDescent="0.35">
      <c r="A19" s="139"/>
      <c r="B19" s="139"/>
      <c r="C19" s="146"/>
      <c r="D19" s="147"/>
      <c r="E19" s="139"/>
    </row>
    <row r="20" spans="1:5" x14ac:dyDescent="0.35">
      <c r="A20" s="139"/>
      <c r="B20" s="139"/>
      <c r="C20" s="146"/>
      <c r="D20" s="147"/>
      <c r="E20" s="139"/>
    </row>
    <row r="21" spans="1:5" x14ac:dyDescent="0.35">
      <c r="A21" s="139"/>
      <c r="B21" s="139"/>
      <c r="C21" s="146"/>
      <c r="D21" s="147"/>
      <c r="E21" s="139"/>
    </row>
    <row r="22" spans="1:5" x14ac:dyDescent="0.35">
      <c r="A22" s="139"/>
      <c r="B22" s="139"/>
      <c r="C22" s="146"/>
      <c r="D22" s="147"/>
      <c r="E22" s="139"/>
    </row>
    <row r="23" spans="1:5" x14ac:dyDescent="0.35">
      <c r="A23" s="139"/>
      <c r="B23" s="139"/>
      <c r="C23" s="146"/>
      <c r="D23" s="147"/>
      <c r="E23" s="139"/>
    </row>
    <row r="24" spans="1:5" x14ac:dyDescent="0.35">
      <c r="A24" s="139"/>
      <c r="B24" s="139"/>
      <c r="C24" s="146"/>
      <c r="D24" s="147"/>
      <c r="E24" s="139"/>
    </row>
    <row r="25" spans="1:5" x14ac:dyDescent="0.35">
      <c r="A25" s="139"/>
      <c r="B25" s="139"/>
      <c r="C25" s="146"/>
      <c r="D25" s="147"/>
      <c r="E25" s="139"/>
    </row>
    <row r="26" spans="1:5" x14ac:dyDescent="0.35">
      <c r="A26" s="139"/>
      <c r="B26" s="139"/>
      <c r="C26" s="148"/>
      <c r="D26" s="149"/>
      <c r="E26" s="139"/>
    </row>
    <row r="27" spans="1:5" x14ac:dyDescent="0.35">
      <c r="A27" s="135"/>
      <c r="B27" s="135"/>
      <c r="C27" s="135"/>
      <c r="D27" s="135"/>
      <c r="E27" s="135"/>
    </row>
  </sheetData>
  <mergeCells count="7">
    <mergeCell ref="A1:E1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J20" sqref="J20"/>
    </sheetView>
  </sheetViews>
  <sheetFormatPr defaultColWidth="9.125" defaultRowHeight="18.75" x14ac:dyDescent="0.2"/>
  <cols>
    <col min="1" max="1" width="10.25" style="6" customWidth="1"/>
    <col min="2" max="2" width="9.125" style="6"/>
    <col min="3" max="3" width="19.625" style="6" customWidth="1"/>
    <col min="4" max="4" width="9.125" style="6"/>
    <col min="5" max="6" width="11" style="7" customWidth="1"/>
    <col min="7" max="7" width="8.375" style="6" customWidth="1"/>
    <col min="8" max="8" width="9.125" style="6" customWidth="1"/>
    <col min="9" max="9" width="10.75" style="7" customWidth="1"/>
    <col min="10" max="10" width="10.75" style="6" customWidth="1"/>
    <col min="11" max="11" width="10.75" style="7" customWidth="1"/>
    <col min="12" max="12" width="19.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68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46</v>
      </c>
      <c r="C4" s="95"/>
      <c r="D4" s="30" t="s">
        <v>44</v>
      </c>
      <c r="E4" s="25" t="s">
        <v>69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70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77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52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2" t="s">
        <v>20</v>
      </c>
      <c r="E9" s="1" t="s">
        <v>22</v>
      </c>
      <c r="F9" s="98" t="s">
        <v>24</v>
      </c>
      <c r="G9" s="2" t="s">
        <v>25</v>
      </c>
      <c r="H9" s="2" t="s">
        <v>26</v>
      </c>
      <c r="I9" s="1" t="s">
        <v>27</v>
      </c>
      <c r="J9" s="2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224534</v>
      </c>
      <c r="B11" s="39"/>
      <c r="C11" s="39" t="s">
        <v>70</v>
      </c>
      <c r="D11" s="40" t="s">
        <v>35</v>
      </c>
      <c r="E11" s="41">
        <v>200000</v>
      </c>
      <c r="F11" s="41">
        <v>200000</v>
      </c>
      <c r="G11" s="49" t="s">
        <v>64</v>
      </c>
      <c r="H11" s="42">
        <v>2.5000000000000001E-2</v>
      </c>
      <c r="I11" s="43">
        <v>5000</v>
      </c>
      <c r="J11" s="39" t="s">
        <v>36</v>
      </c>
      <c r="K11" s="43">
        <v>200000</v>
      </c>
      <c r="L11" s="39" t="s">
        <v>186</v>
      </c>
    </row>
    <row r="12" spans="1:12" x14ac:dyDescent="0.2">
      <c r="A12" s="21">
        <v>239144</v>
      </c>
      <c r="B12" s="13"/>
      <c r="C12" s="13" t="s">
        <v>191</v>
      </c>
      <c r="D12" s="13"/>
      <c r="E12" s="14"/>
      <c r="F12" s="14"/>
      <c r="G12" s="87">
        <v>40</v>
      </c>
      <c r="H12" s="47">
        <v>2.5000000000000001E-2</v>
      </c>
      <c r="I12" s="14">
        <v>200000</v>
      </c>
      <c r="J12" s="14">
        <v>200000</v>
      </c>
      <c r="K12" s="14">
        <f>(K11-J12)</f>
        <v>0</v>
      </c>
      <c r="L12" s="13"/>
    </row>
    <row r="13" spans="1:12" x14ac:dyDescent="0.2">
      <c r="A13" s="22">
        <v>239509</v>
      </c>
      <c r="B13" s="15"/>
      <c r="C13" s="15" t="s">
        <v>38</v>
      </c>
      <c r="D13" s="15"/>
      <c r="E13" s="16"/>
      <c r="F13" s="16"/>
      <c r="G13" s="23">
        <v>41</v>
      </c>
      <c r="H13" s="47">
        <v>2.5000000000000001E-2</v>
      </c>
      <c r="I13" s="16">
        <f>I11</f>
        <v>5000</v>
      </c>
      <c r="J13" s="16">
        <f>(J12+I13)</f>
        <v>205000</v>
      </c>
      <c r="K13" s="14"/>
      <c r="L13" s="15"/>
    </row>
    <row r="14" spans="1:12" x14ac:dyDescent="0.2">
      <c r="A14" s="22">
        <v>239875</v>
      </c>
      <c r="B14" s="15"/>
      <c r="C14" s="15" t="s">
        <v>38</v>
      </c>
      <c r="D14" s="15"/>
      <c r="E14" s="16"/>
      <c r="F14" s="16"/>
      <c r="G14" s="23">
        <v>42</v>
      </c>
      <c r="H14" s="47">
        <v>2.5000000000000001E-2</v>
      </c>
      <c r="I14" s="16">
        <v>5000</v>
      </c>
      <c r="J14" s="16">
        <f t="shared" ref="J14:J27" si="0">(J13+I14)</f>
        <v>210000</v>
      </c>
      <c r="K14" s="14"/>
      <c r="L14" s="15"/>
    </row>
    <row r="15" spans="1:12" x14ac:dyDescent="0.2">
      <c r="A15" s="22">
        <v>240240</v>
      </c>
      <c r="B15" s="15"/>
      <c r="C15" s="15" t="s">
        <v>38</v>
      </c>
      <c r="D15" s="15"/>
      <c r="E15" s="16"/>
      <c r="F15" s="16"/>
      <c r="G15" s="23">
        <v>43</v>
      </c>
      <c r="H15" s="47">
        <v>2.5000000000000001E-2</v>
      </c>
      <c r="I15" s="16">
        <v>5000</v>
      </c>
      <c r="J15" s="16">
        <f t="shared" si="0"/>
        <v>215000</v>
      </c>
      <c r="K15" s="14"/>
      <c r="L15" s="15"/>
    </row>
    <row r="16" spans="1:12" x14ac:dyDescent="0.2">
      <c r="A16" s="22">
        <v>240605</v>
      </c>
      <c r="B16" s="15"/>
      <c r="C16" s="15" t="s">
        <v>38</v>
      </c>
      <c r="D16" s="15"/>
      <c r="E16" s="16"/>
      <c r="F16" s="16"/>
      <c r="G16" s="23">
        <v>44</v>
      </c>
      <c r="H16" s="47">
        <v>2.5000000000000001E-2</v>
      </c>
      <c r="I16" s="16">
        <v>5000</v>
      </c>
      <c r="J16" s="16">
        <f t="shared" si="0"/>
        <v>220000</v>
      </c>
      <c r="K16" s="14"/>
      <c r="L16" s="15"/>
    </row>
    <row r="17" spans="1:12" x14ac:dyDescent="0.2">
      <c r="A17" s="22">
        <v>240970</v>
      </c>
      <c r="B17" s="15"/>
      <c r="C17" s="15" t="s">
        <v>39</v>
      </c>
      <c r="D17" s="15"/>
      <c r="E17" s="16"/>
      <c r="F17" s="16"/>
      <c r="G17" s="23">
        <v>45</v>
      </c>
      <c r="H17" s="47">
        <v>2.5000000000000001E-2</v>
      </c>
      <c r="I17" s="16">
        <v>5000</v>
      </c>
      <c r="J17" s="16">
        <f t="shared" si="0"/>
        <v>225000</v>
      </c>
      <c r="K17" s="16">
        <v>1</v>
      </c>
      <c r="L17" s="52" t="s">
        <v>65</v>
      </c>
    </row>
    <row r="18" spans="1:12" x14ac:dyDescent="0.2">
      <c r="A18" s="22"/>
      <c r="B18" s="15"/>
      <c r="C18" s="15"/>
      <c r="D18" s="15"/>
      <c r="E18" s="16"/>
      <c r="F18" s="16"/>
      <c r="G18" s="23"/>
      <c r="H18" s="89"/>
      <c r="I18" s="16"/>
      <c r="J18" s="16"/>
      <c r="K18" s="16"/>
      <c r="L18" s="52" t="s">
        <v>66</v>
      </c>
    </row>
    <row r="19" spans="1:12" x14ac:dyDescent="0.2">
      <c r="A19" s="22"/>
      <c r="B19" s="15"/>
      <c r="C19" s="15"/>
      <c r="D19" s="15"/>
      <c r="E19" s="16"/>
      <c r="F19" s="16"/>
      <c r="G19" s="23"/>
      <c r="H19" s="89"/>
      <c r="I19" s="16"/>
      <c r="J19" s="16"/>
      <c r="K19" s="16"/>
      <c r="L19" s="52" t="s">
        <v>67</v>
      </c>
    </row>
    <row r="20" spans="1:12" x14ac:dyDescent="0.2">
      <c r="A20" s="22">
        <v>241072</v>
      </c>
      <c r="B20" s="15"/>
      <c r="C20" s="15" t="s">
        <v>192</v>
      </c>
      <c r="D20" s="15"/>
      <c r="E20" s="16">
        <v>144773.43</v>
      </c>
      <c r="F20" s="16">
        <v>144773.43</v>
      </c>
      <c r="G20" s="23">
        <v>46</v>
      </c>
      <c r="H20" s="47">
        <v>2.5000000000000001E-2</v>
      </c>
      <c r="I20" s="16">
        <v>3619.3607499999998</v>
      </c>
      <c r="J20" s="16">
        <f>(J17+I20)</f>
        <v>228619.36074999999</v>
      </c>
      <c r="K20" s="14">
        <v>144774.43</v>
      </c>
      <c r="L20" s="15"/>
    </row>
    <row r="21" spans="1:12" x14ac:dyDescent="0.2">
      <c r="A21" s="22">
        <v>241438</v>
      </c>
      <c r="B21" s="15"/>
      <c r="C21" s="15" t="s">
        <v>38</v>
      </c>
      <c r="D21" s="15"/>
      <c r="E21" s="16"/>
      <c r="F21" s="16"/>
      <c r="G21" s="23">
        <v>47</v>
      </c>
      <c r="H21" s="47">
        <v>2.5000000000000001E-2</v>
      </c>
      <c r="I21" s="16">
        <v>3619.36</v>
      </c>
      <c r="J21" s="16">
        <f t="shared" si="0"/>
        <v>232238.72074999998</v>
      </c>
      <c r="K21" s="14">
        <f t="shared" ref="K21:K23" si="1">(K20-I21)</f>
        <v>141155.07</v>
      </c>
      <c r="L21" s="15"/>
    </row>
    <row r="22" spans="1:12" x14ac:dyDescent="0.2">
      <c r="A22" s="22">
        <v>241803</v>
      </c>
      <c r="B22" s="15"/>
      <c r="C22" s="15" t="s">
        <v>38</v>
      </c>
      <c r="D22" s="15"/>
      <c r="E22" s="16"/>
      <c r="F22" s="16"/>
      <c r="G22" s="23">
        <v>48</v>
      </c>
      <c r="H22" s="47">
        <v>2.5000000000000001E-2</v>
      </c>
      <c r="I22" s="16">
        <v>3619.36</v>
      </c>
      <c r="J22" s="16">
        <f t="shared" si="0"/>
        <v>235858.08074999996</v>
      </c>
      <c r="K22" s="14">
        <f t="shared" si="1"/>
        <v>137535.71000000002</v>
      </c>
      <c r="L22" s="15"/>
    </row>
    <row r="23" spans="1:12" x14ac:dyDescent="0.2">
      <c r="A23" s="22">
        <v>242168</v>
      </c>
      <c r="B23" s="15"/>
      <c r="C23" s="15" t="s">
        <v>38</v>
      </c>
      <c r="D23" s="15"/>
      <c r="E23" s="16"/>
      <c r="F23" s="16"/>
      <c r="G23" s="23">
        <v>49</v>
      </c>
      <c r="H23" s="47">
        <v>2.5000000000000001E-2</v>
      </c>
      <c r="I23" s="16">
        <v>3619.36</v>
      </c>
      <c r="J23" s="16">
        <f t="shared" si="0"/>
        <v>239477.44074999995</v>
      </c>
      <c r="K23" s="14">
        <f t="shared" si="1"/>
        <v>133916.35000000003</v>
      </c>
      <c r="L23" s="15"/>
    </row>
    <row r="24" spans="1:12" x14ac:dyDescent="0.2">
      <c r="A24" s="22">
        <v>242533</v>
      </c>
      <c r="B24" s="15"/>
      <c r="C24" s="15" t="s">
        <v>38</v>
      </c>
      <c r="D24" s="15"/>
      <c r="E24" s="16"/>
      <c r="F24" s="16"/>
      <c r="G24" s="23">
        <v>50</v>
      </c>
      <c r="H24" s="47">
        <v>2.5000000000000001E-2</v>
      </c>
      <c r="I24" s="16">
        <v>3619.36</v>
      </c>
      <c r="J24" s="16">
        <f t="shared" si="0"/>
        <v>243096.80074999994</v>
      </c>
      <c r="K24" s="17" t="s">
        <v>36</v>
      </c>
      <c r="L24" s="15"/>
    </row>
    <row r="25" spans="1:12" x14ac:dyDescent="0.2">
      <c r="A25" s="22">
        <v>242899</v>
      </c>
      <c r="B25" s="15"/>
      <c r="C25" s="15" t="s">
        <v>38</v>
      </c>
      <c r="D25" s="15"/>
      <c r="E25" s="16"/>
      <c r="F25" s="16"/>
      <c r="G25" s="23">
        <v>51</v>
      </c>
      <c r="H25" s="47">
        <v>2.5000000000000001E-2</v>
      </c>
      <c r="I25" s="16">
        <v>3619.36</v>
      </c>
      <c r="J25" s="16">
        <f t="shared" si="0"/>
        <v>246716.16074999992</v>
      </c>
      <c r="K25" s="17" t="s">
        <v>36</v>
      </c>
      <c r="L25" s="15"/>
    </row>
    <row r="26" spans="1:12" x14ac:dyDescent="0.2">
      <c r="A26" s="22">
        <v>243264</v>
      </c>
      <c r="B26" s="15"/>
      <c r="C26" s="15" t="s">
        <v>38</v>
      </c>
      <c r="D26" s="15"/>
      <c r="E26" s="16"/>
      <c r="F26" s="16"/>
      <c r="G26" s="23">
        <v>52</v>
      </c>
      <c r="H26" s="47">
        <v>2.5000000000000001E-2</v>
      </c>
      <c r="I26" s="16">
        <v>3619.36</v>
      </c>
      <c r="J26" s="16">
        <f t="shared" si="0"/>
        <v>250335.52074999991</v>
      </c>
      <c r="K26" s="17" t="s">
        <v>36</v>
      </c>
      <c r="L26" s="15"/>
    </row>
    <row r="27" spans="1:12" x14ac:dyDescent="0.2">
      <c r="A27" s="22">
        <v>243629</v>
      </c>
      <c r="B27" s="15"/>
      <c r="C27" s="15" t="s">
        <v>39</v>
      </c>
      <c r="D27" s="15"/>
      <c r="E27" s="16"/>
      <c r="F27" s="16"/>
      <c r="G27" s="23">
        <v>53</v>
      </c>
      <c r="H27" s="89">
        <v>2.5000000000000001E-2</v>
      </c>
      <c r="I27" s="16">
        <v>3619.36</v>
      </c>
      <c r="J27" s="16">
        <f t="shared" si="0"/>
        <v>253954.88074999989</v>
      </c>
      <c r="K27" s="16">
        <v>1</v>
      </c>
      <c r="L27" s="52" t="s">
        <v>65</v>
      </c>
    </row>
    <row r="28" spans="1:12" x14ac:dyDescent="0.2">
      <c r="A28" s="15"/>
      <c r="B28" s="15"/>
      <c r="C28" s="15"/>
      <c r="D28" s="15"/>
      <c r="E28" s="16"/>
      <c r="F28" s="16"/>
      <c r="G28" s="23"/>
      <c r="H28" s="15"/>
      <c r="I28" s="35"/>
      <c r="J28" s="35"/>
      <c r="K28" s="16"/>
      <c r="L28" s="52" t="s">
        <v>66</v>
      </c>
    </row>
    <row r="29" spans="1:12" x14ac:dyDescent="0.2">
      <c r="A29" s="15"/>
      <c r="B29" s="15"/>
      <c r="C29" s="15"/>
      <c r="D29" s="15"/>
      <c r="E29" s="16"/>
      <c r="F29" s="16"/>
      <c r="G29" s="23"/>
      <c r="H29" s="15"/>
      <c r="I29" s="16"/>
      <c r="J29" s="15"/>
      <c r="K29" s="16"/>
      <c r="L29" s="52" t="s">
        <v>67</v>
      </c>
    </row>
    <row r="30" spans="1:12" x14ac:dyDescent="0.2">
      <c r="A30" s="18"/>
      <c r="B30" s="18"/>
      <c r="C30" s="18"/>
      <c r="D30" s="18"/>
      <c r="E30" s="19"/>
      <c r="F30" s="19"/>
      <c r="G30" s="51"/>
      <c r="H30" s="18"/>
      <c r="I30" s="19"/>
      <c r="J30" s="18"/>
      <c r="K30" s="19"/>
      <c r="L30" s="18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43307086614173229" right="0.31496062992125984" top="0.51" bottom="0.42" header="0.31496062992125984" footer="0.31496062992125984"/>
  <pageSetup paperSize="9" scale="9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14" sqref="C14"/>
    </sheetView>
  </sheetViews>
  <sheetFormatPr defaultRowHeight="21" x14ac:dyDescent="0.35"/>
  <cols>
    <col min="1" max="1" width="8.125" style="123" customWidth="1"/>
    <col min="2" max="2" width="12.375" style="123" customWidth="1"/>
    <col min="3" max="3" width="71.125" style="123" customWidth="1"/>
    <col min="4" max="4" width="13.25" style="123" customWidth="1"/>
    <col min="5" max="5" width="34.125" style="123" customWidth="1"/>
    <col min="6" max="16384" width="9" style="123"/>
  </cols>
  <sheetData>
    <row r="1" spans="1:5" ht="26.25" customHeight="1" x14ac:dyDescent="0.35">
      <c r="A1" s="120" t="s">
        <v>193</v>
      </c>
      <c r="B1" s="121"/>
      <c r="C1" s="121"/>
      <c r="D1" s="121"/>
      <c r="E1" s="122"/>
    </row>
    <row r="2" spans="1:5" ht="23.25" x14ac:dyDescent="0.35">
      <c r="A2" s="124" t="s">
        <v>70</v>
      </c>
      <c r="B2" s="125"/>
      <c r="C2" s="125"/>
      <c r="D2" s="125"/>
      <c r="E2" s="126"/>
    </row>
    <row r="3" spans="1:5" ht="23.25" x14ac:dyDescent="0.35">
      <c r="A3" s="127"/>
      <c r="B3" s="127"/>
      <c r="C3" s="127"/>
      <c r="D3" s="127"/>
      <c r="E3" s="127"/>
    </row>
    <row r="4" spans="1:5" x14ac:dyDescent="0.35">
      <c r="A4" s="128" t="s">
        <v>194</v>
      </c>
      <c r="B4" s="128" t="s">
        <v>195</v>
      </c>
      <c r="C4" s="128" t="s">
        <v>19</v>
      </c>
      <c r="D4" s="128" t="s">
        <v>196</v>
      </c>
      <c r="E4" s="128" t="s">
        <v>31</v>
      </c>
    </row>
    <row r="5" spans="1:5" x14ac:dyDescent="0.35">
      <c r="A5" s="128"/>
      <c r="B5" s="128"/>
      <c r="C5" s="128"/>
      <c r="D5" s="128"/>
      <c r="E5" s="128"/>
    </row>
    <row r="6" spans="1:5" x14ac:dyDescent="0.35">
      <c r="A6" s="129">
        <v>1</v>
      </c>
      <c r="B6" s="130" t="s">
        <v>206</v>
      </c>
      <c r="C6" s="131" t="s">
        <v>207</v>
      </c>
      <c r="D6" s="132">
        <v>144773.43</v>
      </c>
      <c r="E6" s="131" t="s">
        <v>208</v>
      </c>
    </row>
    <row r="7" spans="1:5" x14ac:dyDescent="0.35">
      <c r="A7" s="138"/>
      <c r="B7" s="143"/>
      <c r="C7" s="139"/>
      <c r="D7" s="150"/>
      <c r="E7" s="139"/>
    </row>
    <row r="8" spans="1:5" x14ac:dyDescent="0.35">
      <c r="A8" s="138"/>
      <c r="B8" s="143"/>
      <c r="C8" s="139"/>
      <c r="D8" s="150"/>
      <c r="E8" s="139"/>
    </row>
    <row r="9" spans="1:5" x14ac:dyDescent="0.35">
      <c r="A9" s="138"/>
      <c r="B9" s="138"/>
      <c r="C9" s="139"/>
      <c r="D9" s="140"/>
      <c r="E9" s="139"/>
    </row>
    <row r="10" spans="1:5" x14ac:dyDescent="0.35">
      <c r="A10" s="138"/>
      <c r="B10" s="138"/>
      <c r="C10" s="139"/>
      <c r="D10" s="140"/>
      <c r="E10" s="139"/>
    </row>
    <row r="11" spans="1:5" x14ac:dyDescent="0.35">
      <c r="A11" s="138"/>
      <c r="B11" s="138"/>
      <c r="C11" s="139"/>
      <c r="D11" s="140"/>
      <c r="E11" s="139"/>
    </row>
    <row r="12" spans="1:5" x14ac:dyDescent="0.35">
      <c r="A12" s="138"/>
      <c r="B12" s="138"/>
      <c r="C12" s="139"/>
      <c r="D12" s="140"/>
      <c r="E12" s="139"/>
    </row>
    <row r="13" spans="1:5" x14ac:dyDescent="0.35">
      <c r="A13" s="138"/>
      <c r="B13" s="138"/>
      <c r="C13" s="139"/>
      <c r="D13" s="140"/>
      <c r="E13" s="144"/>
    </row>
    <row r="14" spans="1:5" x14ac:dyDescent="0.35">
      <c r="A14" s="138"/>
      <c r="B14" s="138"/>
      <c r="C14" s="139"/>
      <c r="D14" s="140"/>
      <c r="E14" s="144"/>
    </row>
    <row r="15" spans="1:5" x14ac:dyDescent="0.35">
      <c r="A15" s="138"/>
      <c r="B15" s="138"/>
      <c r="C15" s="139"/>
      <c r="D15" s="140"/>
      <c r="E15" s="144"/>
    </row>
    <row r="16" spans="1:5" x14ac:dyDescent="0.35">
      <c r="A16" s="138"/>
      <c r="B16" s="138"/>
      <c r="C16" s="139"/>
      <c r="D16" s="140"/>
      <c r="E16" s="144"/>
    </row>
    <row r="17" spans="1:5" ht="23.25" x14ac:dyDescent="0.35">
      <c r="A17" s="145"/>
      <c r="B17" s="145"/>
      <c r="C17" s="146"/>
      <c r="D17" s="147"/>
      <c r="E17" s="144"/>
    </row>
    <row r="18" spans="1:5" ht="23.25" x14ac:dyDescent="0.35">
      <c r="A18" s="145"/>
      <c r="B18" s="145"/>
      <c r="C18" s="146"/>
      <c r="D18" s="147"/>
      <c r="E18" s="144"/>
    </row>
    <row r="19" spans="1:5" x14ac:dyDescent="0.35">
      <c r="A19" s="139"/>
      <c r="B19" s="139"/>
      <c r="C19" s="146"/>
      <c r="D19" s="147"/>
      <c r="E19" s="139"/>
    </row>
    <row r="20" spans="1:5" x14ac:dyDescent="0.35">
      <c r="A20" s="139"/>
      <c r="B20" s="139"/>
      <c r="C20" s="146"/>
      <c r="D20" s="147"/>
      <c r="E20" s="139"/>
    </row>
    <row r="21" spans="1:5" x14ac:dyDescent="0.35">
      <c r="A21" s="139"/>
      <c r="B21" s="139"/>
      <c r="C21" s="146"/>
      <c r="D21" s="147"/>
      <c r="E21" s="139"/>
    </row>
    <row r="22" spans="1:5" x14ac:dyDescent="0.35">
      <c r="A22" s="139"/>
      <c r="B22" s="139"/>
      <c r="C22" s="146"/>
      <c r="D22" s="147"/>
      <c r="E22" s="139"/>
    </row>
    <row r="23" spans="1:5" x14ac:dyDescent="0.35">
      <c r="A23" s="139"/>
      <c r="B23" s="139"/>
      <c r="C23" s="146"/>
      <c r="D23" s="147"/>
      <c r="E23" s="139"/>
    </row>
    <row r="24" spans="1:5" x14ac:dyDescent="0.35">
      <c r="A24" s="139"/>
      <c r="B24" s="139"/>
      <c r="C24" s="146"/>
      <c r="D24" s="147"/>
      <c r="E24" s="139"/>
    </row>
    <row r="25" spans="1:5" x14ac:dyDescent="0.35">
      <c r="A25" s="139"/>
      <c r="B25" s="139"/>
      <c r="C25" s="146"/>
      <c r="D25" s="147"/>
      <c r="E25" s="139"/>
    </row>
    <row r="26" spans="1:5" x14ac:dyDescent="0.35">
      <c r="A26" s="139"/>
      <c r="B26" s="139"/>
      <c r="C26" s="148"/>
      <c r="D26" s="149"/>
      <c r="E26" s="139"/>
    </row>
    <row r="27" spans="1:5" x14ac:dyDescent="0.35">
      <c r="A27" s="135"/>
      <c r="B27" s="135"/>
      <c r="C27" s="135"/>
      <c r="D27" s="135"/>
      <c r="E27" s="135"/>
    </row>
  </sheetData>
  <mergeCells count="7">
    <mergeCell ref="A1:E1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9.125" style="6"/>
    <col min="3" max="3" width="19.625" style="6" customWidth="1"/>
    <col min="4" max="4" width="9.125" style="6"/>
    <col min="5" max="6" width="11" style="7" customWidth="1"/>
    <col min="7" max="7" width="8.375" style="6" customWidth="1"/>
    <col min="8" max="8" width="9.125" style="6" customWidth="1"/>
    <col min="9" max="9" width="10.75" style="7" customWidth="1"/>
    <col min="10" max="10" width="10.75" style="6" customWidth="1"/>
    <col min="11" max="11" width="10.75" style="7" customWidth="1"/>
    <col min="12" max="12" width="19.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73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46</v>
      </c>
      <c r="C4" s="95"/>
      <c r="D4" s="30" t="s">
        <v>44</v>
      </c>
      <c r="E4" s="25" t="s">
        <v>71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72</v>
      </c>
      <c r="K5" s="33"/>
      <c r="L5" s="32"/>
    </row>
    <row r="6" spans="1:12" ht="19.5" x14ac:dyDescent="0.2">
      <c r="A6" s="29" t="s">
        <v>43</v>
      </c>
      <c r="B6" s="28" t="s">
        <v>75</v>
      </c>
      <c r="C6" s="27"/>
      <c r="D6" s="27"/>
      <c r="E6" s="26"/>
      <c r="F6" s="26"/>
      <c r="H6" s="24" t="s">
        <v>57</v>
      </c>
      <c r="J6" s="34" t="s">
        <v>77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52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2" t="s">
        <v>20</v>
      </c>
      <c r="E9" s="1" t="s">
        <v>22</v>
      </c>
      <c r="F9" s="98" t="s">
        <v>24</v>
      </c>
      <c r="G9" s="2" t="s">
        <v>25</v>
      </c>
      <c r="H9" s="2" t="s">
        <v>26</v>
      </c>
      <c r="I9" s="1" t="s">
        <v>27</v>
      </c>
      <c r="J9" s="2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224534</v>
      </c>
      <c r="B11" s="39"/>
      <c r="C11" s="39" t="s">
        <v>72</v>
      </c>
      <c r="D11" s="40" t="s">
        <v>35</v>
      </c>
      <c r="E11" s="41">
        <v>100000</v>
      </c>
      <c r="F11" s="41">
        <v>100000</v>
      </c>
      <c r="G11" s="40">
        <v>40</v>
      </c>
      <c r="H11" s="42">
        <v>2.5000000000000001E-2</v>
      </c>
      <c r="I11" s="43">
        <v>2500</v>
      </c>
      <c r="J11" s="39" t="s">
        <v>36</v>
      </c>
      <c r="K11" s="43">
        <v>100000</v>
      </c>
      <c r="L11" s="39"/>
    </row>
    <row r="12" spans="1:12" x14ac:dyDescent="0.2">
      <c r="A12" s="21">
        <v>235492</v>
      </c>
      <c r="B12" s="13"/>
      <c r="C12" s="13" t="s">
        <v>37</v>
      </c>
      <c r="D12" s="13"/>
      <c r="E12" s="14"/>
      <c r="F12" s="14"/>
      <c r="G12" s="13"/>
      <c r="H12" s="47">
        <v>2.5000000000000001E-2</v>
      </c>
      <c r="I12" s="14">
        <v>75000</v>
      </c>
      <c r="J12" s="14">
        <v>75000</v>
      </c>
      <c r="K12" s="14">
        <f>(K11-J12)</f>
        <v>25000</v>
      </c>
      <c r="L12" s="13"/>
    </row>
    <row r="13" spans="1:12" x14ac:dyDescent="0.2">
      <c r="A13" s="22">
        <v>235857</v>
      </c>
      <c r="B13" s="15"/>
      <c r="C13" s="15" t="s">
        <v>38</v>
      </c>
      <c r="D13" s="15"/>
      <c r="E13" s="16"/>
      <c r="F13" s="16"/>
      <c r="G13" s="15"/>
      <c r="H13" s="47">
        <v>2.5000000000000001E-2</v>
      </c>
      <c r="I13" s="16">
        <f>I11</f>
        <v>2500</v>
      </c>
      <c r="J13" s="16">
        <f>(J12+I13)</f>
        <v>77500</v>
      </c>
      <c r="K13" s="14">
        <f>(K12-I13)</f>
        <v>22500</v>
      </c>
      <c r="L13" s="15"/>
    </row>
    <row r="14" spans="1:12" x14ac:dyDescent="0.2">
      <c r="A14" s="22">
        <v>236222</v>
      </c>
      <c r="B14" s="15"/>
      <c r="C14" s="15" t="s">
        <v>38</v>
      </c>
      <c r="D14" s="15"/>
      <c r="E14" s="16"/>
      <c r="F14" s="16"/>
      <c r="G14" s="15"/>
      <c r="H14" s="47">
        <v>2.5000000000000001E-2</v>
      </c>
      <c r="I14" s="16">
        <v>2500</v>
      </c>
      <c r="J14" s="16">
        <f t="shared" ref="J14:J24" si="0">(J13+I14)</f>
        <v>80000</v>
      </c>
      <c r="K14" s="14">
        <f t="shared" ref="K14:K21" si="1">(K13-I14)</f>
        <v>20000</v>
      </c>
      <c r="L14" s="15"/>
    </row>
    <row r="15" spans="1:12" x14ac:dyDescent="0.2">
      <c r="A15" s="22">
        <v>236587</v>
      </c>
      <c r="B15" s="15"/>
      <c r="C15" s="15" t="s">
        <v>38</v>
      </c>
      <c r="D15" s="15"/>
      <c r="E15" s="16"/>
      <c r="F15" s="16"/>
      <c r="G15" s="15"/>
      <c r="H15" s="47">
        <v>2.5000000000000001E-2</v>
      </c>
      <c r="I15" s="16">
        <v>2500</v>
      </c>
      <c r="J15" s="16">
        <f t="shared" si="0"/>
        <v>82500</v>
      </c>
      <c r="K15" s="14">
        <f t="shared" si="1"/>
        <v>17500</v>
      </c>
      <c r="L15" s="15"/>
    </row>
    <row r="16" spans="1:12" x14ac:dyDescent="0.2">
      <c r="A16" s="22">
        <v>236953</v>
      </c>
      <c r="B16" s="15"/>
      <c r="C16" s="15" t="s">
        <v>38</v>
      </c>
      <c r="D16" s="15"/>
      <c r="E16" s="16"/>
      <c r="F16" s="16"/>
      <c r="G16" s="15"/>
      <c r="H16" s="47">
        <v>2.5000000000000001E-2</v>
      </c>
      <c r="I16" s="16">
        <v>2500</v>
      </c>
      <c r="J16" s="16">
        <f t="shared" si="0"/>
        <v>85000</v>
      </c>
      <c r="K16" s="14">
        <f t="shared" si="1"/>
        <v>15000</v>
      </c>
      <c r="L16" s="15"/>
    </row>
    <row r="17" spans="1:12" x14ac:dyDescent="0.2">
      <c r="A17" s="22">
        <v>237318</v>
      </c>
      <c r="B17" s="15"/>
      <c r="C17" s="15" t="s">
        <v>38</v>
      </c>
      <c r="D17" s="15"/>
      <c r="E17" s="16"/>
      <c r="F17" s="16"/>
      <c r="G17" s="15"/>
      <c r="H17" s="47">
        <v>2.5000000000000001E-2</v>
      </c>
      <c r="I17" s="16">
        <v>2500</v>
      </c>
      <c r="J17" s="16">
        <f t="shared" si="0"/>
        <v>87500</v>
      </c>
      <c r="K17" s="14">
        <f t="shared" si="1"/>
        <v>12500</v>
      </c>
      <c r="L17" s="15"/>
    </row>
    <row r="18" spans="1:12" x14ac:dyDescent="0.2">
      <c r="A18" s="22">
        <v>237683</v>
      </c>
      <c r="B18" s="15"/>
      <c r="C18" s="15" t="s">
        <v>38</v>
      </c>
      <c r="D18" s="15"/>
      <c r="E18" s="16"/>
      <c r="F18" s="16"/>
      <c r="G18" s="15"/>
      <c r="H18" s="47">
        <v>2.5000000000000001E-2</v>
      </c>
      <c r="I18" s="16">
        <v>2500</v>
      </c>
      <c r="J18" s="16">
        <f t="shared" si="0"/>
        <v>90000</v>
      </c>
      <c r="K18" s="14">
        <f t="shared" si="1"/>
        <v>10000</v>
      </c>
      <c r="L18" s="15"/>
    </row>
    <row r="19" spans="1:12" x14ac:dyDescent="0.2">
      <c r="A19" s="22">
        <v>238048</v>
      </c>
      <c r="B19" s="15"/>
      <c r="C19" s="15" t="s">
        <v>38</v>
      </c>
      <c r="D19" s="15"/>
      <c r="E19" s="16"/>
      <c r="F19" s="16"/>
      <c r="G19" s="15"/>
      <c r="H19" s="47">
        <v>2.5000000000000001E-2</v>
      </c>
      <c r="I19" s="16">
        <v>2500</v>
      </c>
      <c r="J19" s="16">
        <f t="shared" si="0"/>
        <v>92500</v>
      </c>
      <c r="K19" s="14">
        <f t="shared" si="1"/>
        <v>7500</v>
      </c>
      <c r="L19" s="15"/>
    </row>
    <row r="20" spans="1:12" x14ac:dyDescent="0.2">
      <c r="A20" s="22">
        <v>238414</v>
      </c>
      <c r="B20" s="15"/>
      <c r="C20" s="15" t="s">
        <v>38</v>
      </c>
      <c r="D20" s="15"/>
      <c r="E20" s="16"/>
      <c r="F20" s="16"/>
      <c r="G20" s="15"/>
      <c r="H20" s="47">
        <v>2.5000000000000001E-2</v>
      </c>
      <c r="I20" s="16">
        <v>2500</v>
      </c>
      <c r="J20" s="16">
        <f t="shared" si="0"/>
        <v>95000</v>
      </c>
      <c r="K20" s="14">
        <f t="shared" si="1"/>
        <v>5000</v>
      </c>
      <c r="L20" s="15"/>
    </row>
    <row r="21" spans="1:12" x14ac:dyDescent="0.2">
      <c r="A21" s="22">
        <v>238779</v>
      </c>
      <c r="B21" s="15"/>
      <c r="C21" s="15" t="s">
        <v>38</v>
      </c>
      <c r="D21" s="15"/>
      <c r="E21" s="16"/>
      <c r="F21" s="16"/>
      <c r="G21" s="15"/>
      <c r="H21" s="47">
        <v>2.5000000000000001E-2</v>
      </c>
      <c r="I21" s="16">
        <v>2500</v>
      </c>
      <c r="J21" s="16">
        <f t="shared" si="0"/>
        <v>97500</v>
      </c>
      <c r="K21" s="14">
        <f t="shared" si="1"/>
        <v>2500</v>
      </c>
      <c r="L21" s="15"/>
    </row>
    <row r="22" spans="1:12" x14ac:dyDescent="0.2">
      <c r="A22" s="22">
        <v>239144</v>
      </c>
      <c r="B22" s="15"/>
      <c r="C22" s="15" t="s">
        <v>38</v>
      </c>
      <c r="D22" s="15"/>
      <c r="E22" s="16"/>
      <c r="F22" s="16"/>
      <c r="G22" s="15"/>
      <c r="H22" s="47">
        <v>2.5000000000000001E-2</v>
      </c>
      <c r="I22" s="16">
        <v>2500</v>
      </c>
      <c r="J22" s="16">
        <f t="shared" si="0"/>
        <v>100000</v>
      </c>
      <c r="K22" s="17" t="s">
        <v>36</v>
      </c>
      <c r="L22" s="15"/>
    </row>
    <row r="23" spans="1:12" x14ac:dyDescent="0.2">
      <c r="A23" s="22">
        <v>239509</v>
      </c>
      <c r="B23" s="15"/>
      <c r="C23" s="15" t="s">
        <v>38</v>
      </c>
      <c r="D23" s="15"/>
      <c r="E23" s="16"/>
      <c r="F23" s="16"/>
      <c r="G23" s="15"/>
      <c r="H23" s="47">
        <v>2.5000000000000001E-2</v>
      </c>
      <c r="I23" s="16">
        <v>2500</v>
      </c>
      <c r="J23" s="16">
        <f t="shared" si="0"/>
        <v>102500</v>
      </c>
      <c r="K23" s="17" t="s">
        <v>36</v>
      </c>
      <c r="L23" s="15"/>
    </row>
    <row r="24" spans="1:12" x14ac:dyDescent="0.2">
      <c r="A24" s="22">
        <v>239875</v>
      </c>
      <c r="B24" s="15"/>
      <c r="C24" s="15" t="s">
        <v>38</v>
      </c>
      <c r="D24" s="15"/>
      <c r="E24" s="16"/>
      <c r="F24" s="16"/>
      <c r="G24" s="15"/>
      <c r="H24" s="47">
        <v>2.5000000000000001E-2</v>
      </c>
      <c r="I24" s="16">
        <v>2500</v>
      </c>
      <c r="J24" s="16">
        <f t="shared" si="0"/>
        <v>105000</v>
      </c>
      <c r="K24" s="17" t="s">
        <v>36</v>
      </c>
      <c r="L24" s="15"/>
    </row>
    <row r="25" spans="1:12" x14ac:dyDescent="0.2">
      <c r="A25" s="23"/>
      <c r="B25" s="15"/>
      <c r="C25" s="15" t="s">
        <v>39</v>
      </c>
      <c r="D25" s="15"/>
      <c r="E25" s="16"/>
      <c r="F25" s="16"/>
      <c r="G25" s="15"/>
      <c r="H25" s="15"/>
      <c r="I25" s="35"/>
      <c r="J25" s="35"/>
      <c r="K25" s="16">
        <v>1</v>
      </c>
      <c r="L25" s="52" t="s">
        <v>65</v>
      </c>
    </row>
    <row r="26" spans="1:12" x14ac:dyDescent="0.2">
      <c r="A26" s="15"/>
      <c r="B26" s="15"/>
      <c r="C26" s="15"/>
      <c r="D26" s="15"/>
      <c r="E26" s="16"/>
      <c r="F26" s="16"/>
      <c r="G26" s="15"/>
      <c r="H26" s="15"/>
      <c r="I26" s="35"/>
      <c r="J26" s="35"/>
      <c r="K26" s="16"/>
      <c r="L26" s="52" t="s">
        <v>66</v>
      </c>
    </row>
    <row r="27" spans="1:12" x14ac:dyDescent="0.2">
      <c r="A27" s="15"/>
      <c r="B27" s="15"/>
      <c r="C27" s="15"/>
      <c r="D27" s="15"/>
      <c r="E27" s="16"/>
      <c r="F27" s="16"/>
      <c r="G27" s="15"/>
      <c r="H27" s="15"/>
      <c r="I27" s="16"/>
      <c r="J27" s="15"/>
      <c r="K27" s="16"/>
      <c r="L27" s="52" t="s">
        <v>67</v>
      </c>
    </row>
    <row r="28" spans="1:12" x14ac:dyDescent="0.2">
      <c r="A28" s="18"/>
      <c r="B28" s="18"/>
      <c r="C28" s="18"/>
      <c r="D28" s="18"/>
      <c r="E28" s="19"/>
      <c r="F28" s="19"/>
      <c r="G28" s="18"/>
      <c r="H28" s="18"/>
      <c r="I28" s="19"/>
      <c r="J28" s="18"/>
      <c r="K28" s="19"/>
      <c r="L28" s="18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90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8.5" style="6" customWidth="1"/>
    <col min="3" max="3" width="22.75" style="6" customWidth="1"/>
    <col min="4" max="4" width="9" style="6" customWidth="1"/>
    <col min="5" max="6" width="10.5" style="7" customWidth="1"/>
    <col min="7" max="7" width="8" style="6" customWidth="1"/>
    <col min="8" max="8" width="9.125" style="6" customWidth="1"/>
    <col min="9" max="9" width="10.75" style="7" customWidth="1"/>
    <col min="10" max="10" width="10.75" style="6" customWidth="1"/>
    <col min="11" max="11" width="10.75" style="7" customWidth="1"/>
    <col min="12" max="12" width="18.7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74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46</v>
      </c>
      <c r="C4" s="95"/>
      <c r="D4" s="30" t="s">
        <v>44</v>
      </c>
      <c r="E4" s="25" t="s">
        <v>79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164</v>
      </c>
      <c r="K5" s="33"/>
      <c r="L5" s="32"/>
    </row>
    <row r="6" spans="1:12" ht="19.5" x14ac:dyDescent="0.2">
      <c r="A6" s="29" t="s">
        <v>43</v>
      </c>
      <c r="B6" s="28" t="s">
        <v>75</v>
      </c>
      <c r="C6" s="27"/>
      <c r="D6" s="27"/>
      <c r="E6" s="26"/>
      <c r="F6" s="26"/>
      <c r="H6" s="24" t="s">
        <v>57</v>
      </c>
      <c r="J6" s="34" t="s">
        <v>77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52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2" t="s">
        <v>20</v>
      </c>
      <c r="E9" s="1" t="s">
        <v>22</v>
      </c>
      <c r="F9" s="98" t="s">
        <v>24</v>
      </c>
      <c r="G9" s="2" t="s">
        <v>25</v>
      </c>
      <c r="H9" s="2" t="s">
        <v>26</v>
      </c>
      <c r="I9" s="1" t="s">
        <v>27</v>
      </c>
      <c r="J9" s="2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224534</v>
      </c>
      <c r="B11" s="39"/>
      <c r="C11" s="45" t="s">
        <v>164</v>
      </c>
      <c r="D11" s="40" t="s">
        <v>35</v>
      </c>
      <c r="E11" s="41">
        <v>100000</v>
      </c>
      <c r="F11" s="41">
        <v>100000</v>
      </c>
      <c r="G11" s="40">
        <v>40</v>
      </c>
      <c r="H11" s="42">
        <v>2.5000000000000001E-2</v>
      </c>
      <c r="I11" s="43">
        <v>2500</v>
      </c>
      <c r="J11" s="39" t="s">
        <v>36</v>
      </c>
      <c r="K11" s="43">
        <v>100000</v>
      </c>
      <c r="L11" s="39"/>
    </row>
    <row r="12" spans="1:12" x14ac:dyDescent="0.2">
      <c r="A12" s="21">
        <v>235492</v>
      </c>
      <c r="B12" s="13"/>
      <c r="C12" s="13" t="s">
        <v>37</v>
      </c>
      <c r="D12" s="13"/>
      <c r="E12" s="14"/>
      <c r="F12" s="14"/>
      <c r="G12" s="13"/>
      <c r="H12" s="47">
        <v>2.5000000000000001E-2</v>
      </c>
      <c r="I12" s="14">
        <v>75000</v>
      </c>
      <c r="J12" s="14">
        <v>75000</v>
      </c>
      <c r="K12" s="14">
        <f>(K11-J12)</f>
        <v>25000</v>
      </c>
      <c r="L12" s="13"/>
    </row>
    <row r="13" spans="1:12" x14ac:dyDescent="0.2">
      <c r="A13" s="22">
        <v>235857</v>
      </c>
      <c r="B13" s="15"/>
      <c r="C13" s="15" t="s">
        <v>38</v>
      </c>
      <c r="D13" s="15"/>
      <c r="E13" s="16"/>
      <c r="F13" s="16"/>
      <c r="G13" s="15"/>
      <c r="H13" s="47">
        <v>2.5000000000000001E-2</v>
      </c>
      <c r="I13" s="16">
        <f>I11</f>
        <v>2500</v>
      </c>
      <c r="J13" s="16">
        <f>(J12+I13)</f>
        <v>77500</v>
      </c>
      <c r="K13" s="14">
        <f>(K12-I13)</f>
        <v>22500</v>
      </c>
      <c r="L13" s="15"/>
    </row>
    <row r="14" spans="1:12" x14ac:dyDescent="0.2">
      <c r="A14" s="22">
        <v>236222</v>
      </c>
      <c r="B14" s="15"/>
      <c r="C14" s="15" t="s">
        <v>38</v>
      </c>
      <c r="D14" s="15"/>
      <c r="E14" s="16"/>
      <c r="F14" s="16"/>
      <c r="G14" s="15"/>
      <c r="H14" s="47">
        <v>2.5000000000000001E-2</v>
      </c>
      <c r="I14" s="16">
        <v>2500</v>
      </c>
      <c r="J14" s="16">
        <f t="shared" ref="J14:J24" si="0">(J13+I14)</f>
        <v>80000</v>
      </c>
      <c r="K14" s="14">
        <f t="shared" ref="K14:K21" si="1">(K13-I14)</f>
        <v>20000</v>
      </c>
      <c r="L14" s="15"/>
    </row>
    <row r="15" spans="1:12" x14ac:dyDescent="0.2">
      <c r="A15" s="22">
        <v>236587</v>
      </c>
      <c r="B15" s="15"/>
      <c r="C15" s="15" t="s">
        <v>38</v>
      </c>
      <c r="D15" s="15"/>
      <c r="E15" s="16"/>
      <c r="F15" s="16"/>
      <c r="G15" s="15"/>
      <c r="H15" s="47">
        <v>2.5000000000000001E-2</v>
      </c>
      <c r="I15" s="16">
        <v>2500</v>
      </c>
      <c r="J15" s="16">
        <f t="shared" si="0"/>
        <v>82500</v>
      </c>
      <c r="K15" s="14">
        <f t="shared" si="1"/>
        <v>17500</v>
      </c>
      <c r="L15" s="15"/>
    </row>
    <row r="16" spans="1:12" x14ac:dyDescent="0.2">
      <c r="A16" s="22">
        <v>236953</v>
      </c>
      <c r="B16" s="15"/>
      <c r="C16" s="15" t="s">
        <v>38</v>
      </c>
      <c r="D16" s="15"/>
      <c r="E16" s="16"/>
      <c r="F16" s="16"/>
      <c r="G16" s="15"/>
      <c r="H16" s="47">
        <v>2.5000000000000001E-2</v>
      </c>
      <c r="I16" s="16">
        <v>2500</v>
      </c>
      <c r="J16" s="16">
        <f t="shared" si="0"/>
        <v>85000</v>
      </c>
      <c r="K16" s="14">
        <f t="shared" si="1"/>
        <v>15000</v>
      </c>
      <c r="L16" s="15"/>
    </row>
    <row r="17" spans="1:12" x14ac:dyDescent="0.2">
      <c r="A17" s="22">
        <v>237318</v>
      </c>
      <c r="B17" s="15"/>
      <c r="C17" s="15" t="s">
        <v>38</v>
      </c>
      <c r="D17" s="15"/>
      <c r="E17" s="16"/>
      <c r="F17" s="16"/>
      <c r="G17" s="15"/>
      <c r="H17" s="47">
        <v>2.5000000000000001E-2</v>
      </c>
      <c r="I17" s="16">
        <v>2500</v>
      </c>
      <c r="J17" s="16">
        <f t="shared" si="0"/>
        <v>87500</v>
      </c>
      <c r="K17" s="14">
        <f t="shared" si="1"/>
        <v>12500</v>
      </c>
      <c r="L17" s="15"/>
    </row>
    <row r="18" spans="1:12" x14ac:dyDescent="0.2">
      <c r="A18" s="22">
        <v>237683</v>
      </c>
      <c r="B18" s="15"/>
      <c r="C18" s="15" t="s">
        <v>38</v>
      </c>
      <c r="D18" s="15"/>
      <c r="E18" s="16"/>
      <c r="F18" s="16"/>
      <c r="G18" s="15"/>
      <c r="H18" s="47">
        <v>2.5000000000000001E-2</v>
      </c>
      <c r="I18" s="16">
        <v>2500</v>
      </c>
      <c r="J18" s="16">
        <f t="shared" si="0"/>
        <v>90000</v>
      </c>
      <c r="K18" s="14">
        <f t="shared" si="1"/>
        <v>10000</v>
      </c>
      <c r="L18" s="15"/>
    </row>
    <row r="19" spans="1:12" x14ac:dyDescent="0.2">
      <c r="A19" s="22">
        <v>238048</v>
      </c>
      <c r="B19" s="15"/>
      <c r="C19" s="15" t="s">
        <v>38</v>
      </c>
      <c r="D19" s="15"/>
      <c r="E19" s="16"/>
      <c r="F19" s="16"/>
      <c r="G19" s="15"/>
      <c r="H19" s="47">
        <v>2.5000000000000001E-2</v>
      </c>
      <c r="I19" s="16">
        <v>2500</v>
      </c>
      <c r="J19" s="16">
        <f t="shared" si="0"/>
        <v>92500</v>
      </c>
      <c r="K19" s="14">
        <f t="shared" si="1"/>
        <v>7500</v>
      </c>
      <c r="L19" s="15"/>
    </row>
    <row r="20" spans="1:12" x14ac:dyDescent="0.2">
      <c r="A20" s="22">
        <v>238414</v>
      </c>
      <c r="B20" s="15"/>
      <c r="C20" s="15" t="s">
        <v>38</v>
      </c>
      <c r="D20" s="15"/>
      <c r="E20" s="16"/>
      <c r="F20" s="16"/>
      <c r="G20" s="15"/>
      <c r="H20" s="47">
        <v>2.5000000000000001E-2</v>
      </c>
      <c r="I20" s="16">
        <v>2500</v>
      </c>
      <c r="J20" s="16">
        <f t="shared" si="0"/>
        <v>95000</v>
      </c>
      <c r="K20" s="14">
        <f t="shared" si="1"/>
        <v>5000</v>
      </c>
      <c r="L20" s="15"/>
    </row>
    <row r="21" spans="1:12" x14ac:dyDescent="0.2">
      <c r="A21" s="22">
        <v>238779</v>
      </c>
      <c r="B21" s="15"/>
      <c r="C21" s="15" t="s">
        <v>38</v>
      </c>
      <c r="D21" s="15"/>
      <c r="E21" s="16"/>
      <c r="F21" s="16"/>
      <c r="G21" s="15"/>
      <c r="H21" s="47">
        <v>2.5000000000000001E-2</v>
      </c>
      <c r="I21" s="16">
        <v>2500</v>
      </c>
      <c r="J21" s="16">
        <f t="shared" si="0"/>
        <v>97500</v>
      </c>
      <c r="K21" s="14">
        <f t="shared" si="1"/>
        <v>2500</v>
      </c>
      <c r="L21" s="15"/>
    </row>
    <row r="22" spans="1:12" x14ac:dyDescent="0.2">
      <c r="A22" s="22">
        <v>239144</v>
      </c>
      <c r="B22" s="15"/>
      <c r="C22" s="15" t="s">
        <v>38</v>
      </c>
      <c r="D22" s="15"/>
      <c r="E22" s="16"/>
      <c r="F22" s="16"/>
      <c r="G22" s="15"/>
      <c r="H22" s="47">
        <v>2.5000000000000001E-2</v>
      </c>
      <c r="I22" s="16">
        <v>2500</v>
      </c>
      <c r="J22" s="16">
        <f t="shared" si="0"/>
        <v>100000</v>
      </c>
      <c r="K22" s="17" t="s">
        <v>36</v>
      </c>
      <c r="L22" s="15"/>
    </row>
    <row r="23" spans="1:12" x14ac:dyDescent="0.2">
      <c r="A23" s="22">
        <v>239509</v>
      </c>
      <c r="B23" s="15"/>
      <c r="C23" s="15" t="s">
        <v>38</v>
      </c>
      <c r="D23" s="15"/>
      <c r="E23" s="16"/>
      <c r="F23" s="16"/>
      <c r="G23" s="15"/>
      <c r="H23" s="47">
        <v>2.5000000000000001E-2</v>
      </c>
      <c r="I23" s="16">
        <v>2500</v>
      </c>
      <c r="J23" s="16">
        <f t="shared" si="0"/>
        <v>102500</v>
      </c>
      <c r="K23" s="17" t="s">
        <v>36</v>
      </c>
      <c r="L23" s="15"/>
    </row>
    <row r="24" spans="1:12" x14ac:dyDescent="0.2">
      <c r="A24" s="22">
        <v>239875</v>
      </c>
      <c r="B24" s="15"/>
      <c r="C24" s="15" t="s">
        <v>38</v>
      </c>
      <c r="D24" s="15"/>
      <c r="E24" s="16"/>
      <c r="F24" s="16"/>
      <c r="G24" s="15"/>
      <c r="H24" s="47">
        <v>2.5000000000000001E-2</v>
      </c>
      <c r="I24" s="16">
        <v>2500</v>
      </c>
      <c r="J24" s="16">
        <f t="shared" si="0"/>
        <v>105000</v>
      </c>
      <c r="K24" s="17" t="s">
        <v>36</v>
      </c>
      <c r="L24" s="15"/>
    </row>
    <row r="25" spans="1:12" x14ac:dyDescent="0.2">
      <c r="A25" s="23"/>
      <c r="B25" s="15"/>
      <c r="C25" s="15" t="s">
        <v>39</v>
      </c>
      <c r="D25" s="15"/>
      <c r="E25" s="16"/>
      <c r="F25" s="16"/>
      <c r="G25" s="15"/>
      <c r="H25" s="15"/>
      <c r="I25" s="35"/>
      <c r="J25" s="35"/>
      <c r="K25" s="16">
        <v>1</v>
      </c>
      <c r="L25" s="52" t="s">
        <v>65</v>
      </c>
    </row>
    <row r="26" spans="1:12" x14ac:dyDescent="0.2">
      <c r="A26" s="15"/>
      <c r="B26" s="15"/>
      <c r="C26" s="15"/>
      <c r="D26" s="15"/>
      <c r="E26" s="16"/>
      <c r="F26" s="16"/>
      <c r="G26" s="15"/>
      <c r="H26" s="15"/>
      <c r="I26" s="35"/>
      <c r="J26" s="35"/>
      <c r="K26" s="16"/>
      <c r="L26" s="52" t="s">
        <v>66</v>
      </c>
    </row>
    <row r="27" spans="1:12" x14ac:dyDescent="0.2">
      <c r="A27" s="15"/>
      <c r="B27" s="15"/>
      <c r="C27" s="15"/>
      <c r="D27" s="15"/>
      <c r="E27" s="16"/>
      <c r="F27" s="16"/>
      <c r="G27" s="15"/>
      <c r="H27" s="15"/>
      <c r="I27" s="16"/>
      <c r="J27" s="15"/>
      <c r="K27" s="16"/>
      <c r="L27" s="52" t="s">
        <v>67</v>
      </c>
    </row>
    <row r="28" spans="1:12" x14ac:dyDescent="0.2">
      <c r="A28" s="18"/>
      <c r="B28" s="18"/>
      <c r="C28" s="18"/>
      <c r="D28" s="18"/>
      <c r="E28" s="19"/>
      <c r="F28" s="19"/>
      <c r="G28" s="18"/>
      <c r="H28" s="18"/>
      <c r="I28" s="19"/>
      <c r="J28" s="18"/>
      <c r="K28" s="19"/>
      <c r="L28" s="18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5433070866141736" right="0.31496062992125984" top="0.51181102362204722" bottom="0.47244094488188981" header="0.31496062992125984" footer="0.31496062992125984"/>
  <pageSetup paperSize="9" scale="90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9.125" style="6"/>
    <col min="3" max="3" width="19.625" style="6" customWidth="1"/>
    <col min="4" max="4" width="9.125" style="6"/>
    <col min="5" max="6" width="11" style="7" customWidth="1"/>
    <col min="7" max="7" width="8.375" style="6" customWidth="1"/>
    <col min="8" max="8" width="9.125" style="6" customWidth="1"/>
    <col min="9" max="9" width="10.75" style="7" customWidth="1"/>
    <col min="10" max="10" width="10.75" style="6" customWidth="1"/>
    <col min="11" max="11" width="10.75" style="7" customWidth="1"/>
    <col min="12" max="12" width="19.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80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46</v>
      </c>
      <c r="C4" s="95"/>
      <c r="D4" s="30" t="s">
        <v>44</v>
      </c>
      <c r="E4" s="25" t="s">
        <v>84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81</v>
      </c>
      <c r="K5" s="33"/>
      <c r="L5" s="32"/>
    </row>
    <row r="6" spans="1:12" ht="19.5" x14ac:dyDescent="0.2">
      <c r="A6" s="29" t="s">
        <v>43</v>
      </c>
      <c r="B6" s="28" t="s">
        <v>75</v>
      </c>
      <c r="C6" s="27"/>
      <c r="D6" s="27"/>
      <c r="E6" s="26"/>
      <c r="F6" s="26"/>
      <c r="H6" s="24" t="s">
        <v>57</v>
      </c>
      <c r="J6" s="34" t="s">
        <v>77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52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2" t="s">
        <v>20</v>
      </c>
      <c r="E9" s="1" t="s">
        <v>22</v>
      </c>
      <c r="F9" s="98" t="s">
        <v>24</v>
      </c>
      <c r="G9" s="2" t="s">
        <v>25</v>
      </c>
      <c r="H9" s="2" t="s">
        <v>26</v>
      </c>
      <c r="I9" s="1" t="s">
        <v>27</v>
      </c>
      <c r="J9" s="2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224534</v>
      </c>
      <c r="B11" s="39"/>
      <c r="C11" s="44" t="s">
        <v>81</v>
      </c>
      <c r="D11" s="40" t="s">
        <v>35</v>
      </c>
      <c r="E11" s="41">
        <v>200000</v>
      </c>
      <c r="F11" s="41">
        <v>200000</v>
      </c>
      <c r="G11" s="40">
        <v>40</v>
      </c>
      <c r="H11" s="42">
        <v>2.5000000000000001E-2</v>
      </c>
      <c r="I11" s="43">
        <v>5000</v>
      </c>
      <c r="J11" s="39" t="s">
        <v>36</v>
      </c>
      <c r="K11" s="43">
        <v>200000</v>
      </c>
      <c r="L11" s="39"/>
    </row>
    <row r="12" spans="1:12" x14ac:dyDescent="0.2">
      <c r="A12" s="21">
        <v>235492</v>
      </c>
      <c r="B12" s="13"/>
      <c r="C12" s="13" t="s">
        <v>37</v>
      </c>
      <c r="D12" s="13"/>
      <c r="E12" s="14"/>
      <c r="F12" s="14"/>
      <c r="G12" s="13"/>
      <c r="H12" s="47">
        <v>2.5000000000000001E-2</v>
      </c>
      <c r="I12" s="14">
        <v>150000</v>
      </c>
      <c r="J12" s="14">
        <v>150000</v>
      </c>
      <c r="K12" s="14">
        <f>(K11-J12)</f>
        <v>50000</v>
      </c>
      <c r="L12" s="13"/>
    </row>
    <row r="13" spans="1:12" x14ac:dyDescent="0.2">
      <c r="A13" s="22">
        <v>235857</v>
      </c>
      <c r="B13" s="15"/>
      <c r="C13" s="15" t="s">
        <v>38</v>
      </c>
      <c r="D13" s="15"/>
      <c r="E13" s="16"/>
      <c r="F13" s="16"/>
      <c r="G13" s="15"/>
      <c r="H13" s="47">
        <v>2.5000000000000001E-2</v>
      </c>
      <c r="I13" s="16">
        <f>I11</f>
        <v>5000</v>
      </c>
      <c r="J13" s="16">
        <f>(J12+I13)</f>
        <v>155000</v>
      </c>
      <c r="K13" s="14">
        <f>(K12-I13)</f>
        <v>45000</v>
      </c>
      <c r="L13" s="15"/>
    </row>
    <row r="14" spans="1:12" x14ac:dyDescent="0.2">
      <c r="A14" s="22">
        <v>236222</v>
      </c>
      <c r="B14" s="15"/>
      <c r="C14" s="15" t="s">
        <v>38</v>
      </c>
      <c r="D14" s="15"/>
      <c r="E14" s="16"/>
      <c r="F14" s="16"/>
      <c r="G14" s="15"/>
      <c r="H14" s="47">
        <v>2.5000000000000001E-2</v>
      </c>
      <c r="I14" s="16">
        <v>5000</v>
      </c>
      <c r="J14" s="16">
        <f t="shared" ref="J14:J24" si="0">(J13+I14)</f>
        <v>160000</v>
      </c>
      <c r="K14" s="14">
        <f t="shared" ref="K14:K21" si="1">(K13-I14)</f>
        <v>40000</v>
      </c>
      <c r="L14" s="15"/>
    </row>
    <row r="15" spans="1:12" x14ac:dyDescent="0.2">
      <c r="A15" s="22">
        <v>236587</v>
      </c>
      <c r="B15" s="15"/>
      <c r="C15" s="15" t="s">
        <v>38</v>
      </c>
      <c r="D15" s="15"/>
      <c r="E15" s="16"/>
      <c r="F15" s="16"/>
      <c r="G15" s="15"/>
      <c r="H15" s="47">
        <v>2.5000000000000001E-2</v>
      </c>
      <c r="I15" s="16">
        <v>5000</v>
      </c>
      <c r="J15" s="16">
        <f t="shared" si="0"/>
        <v>165000</v>
      </c>
      <c r="K15" s="14">
        <f t="shared" si="1"/>
        <v>35000</v>
      </c>
      <c r="L15" s="15"/>
    </row>
    <row r="16" spans="1:12" x14ac:dyDescent="0.2">
      <c r="A16" s="22">
        <v>236953</v>
      </c>
      <c r="B16" s="15"/>
      <c r="C16" s="15" t="s">
        <v>38</v>
      </c>
      <c r="D16" s="15"/>
      <c r="E16" s="16"/>
      <c r="F16" s="16"/>
      <c r="G16" s="15"/>
      <c r="H16" s="47">
        <v>2.5000000000000001E-2</v>
      </c>
      <c r="I16" s="16">
        <v>5000</v>
      </c>
      <c r="J16" s="16">
        <f t="shared" si="0"/>
        <v>170000</v>
      </c>
      <c r="K16" s="14">
        <f t="shared" si="1"/>
        <v>30000</v>
      </c>
      <c r="L16" s="15"/>
    </row>
    <row r="17" spans="1:12" x14ac:dyDescent="0.2">
      <c r="A17" s="22">
        <v>237318</v>
      </c>
      <c r="B17" s="15"/>
      <c r="C17" s="15" t="s">
        <v>38</v>
      </c>
      <c r="D17" s="15"/>
      <c r="E17" s="16"/>
      <c r="F17" s="16"/>
      <c r="G17" s="15"/>
      <c r="H17" s="47">
        <v>2.5000000000000001E-2</v>
      </c>
      <c r="I17" s="16">
        <v>5000</v>
      </c>
      <c r="J17" s="16">
        <f t="shared" si="0"/>
        <v>175000</v>
      </c>
      <c r="K17" s="14">
        <f t="shared" si="1"/>
        <v>25000</v>
      </c>
      <c r="L17" s="15"/>
    </row>
    <row r="18" spans="1:12" x14ac:dyDescent="0.2">
      <c r="A18" s="22">
        <v>237683</v>
      </c>
      <c r="B18" s="15"/>
      <c r="C18" s="15" t="s">
        <v>38</v>
      </c>
      <c r="D18" s="15"/>
      <c r="E18" s="16"/>
      <c r="F18" s="16"/>
      <c r="G18" s="15"/>
      <c r="H18" s="47">
        <v>2.5000000000000001E-2</v>
      </c>
      <c r="I18" s="16">
        <v>5000</v>
      </c>
      <c r="J18" s="16">
        <f t="shared" si="0"/>
        <v>180000</v>
      </c>
      <c r="K18" s="14">
        <f t="shared" si="1"/>
        <v>20000</v>
      </c>
      <c r="L18" s="15"/>
    </row>
    <row r="19" spans="1:12" x14ac:dyDescent="0.2">
      <c r="A19" s="22">
        <v>238048</v>
      </c>
      <c r="B19" s="15"/>
      <c r="C19" s="15" t="s">
        <v>38</v>
      </c>
      <c r="D19" s="15"/>
      <c r="E19" s="16"/>
      <c r="F19" s="16"/>
      <c r="G19" s="15"/>
      <c r="H19" s="47">
        <v>2.5000000000000001E-2</v>
      </c>
      <c r="I19" s="16">
        <v>5000</v>
      </c>
      <c r="J19" s="16">
        <f t="shared" si="0"/>
        <v>185000</v>
      </c>
      <c r="K19" s="14">
        <f t="shared" si="1"/>
        <v>15000</v>
      </c>
      <c r="L19" s="15"/>
    </row>
    <row r="20" spans="1:12" x14ac:dyDescent="0.2">
      <c r="A20" s="22">
        <v>238414</v>
      </c>
      <c r="B20" s="15"/>
      <c r="C20" s="15" t="s">
        <v>38</v>
      </c>
      <c r="D20" s="15"/>
      <c r="E20" s="16"/>
      <c r="F20" s="16"/>
      <c r="G20" s="15"/>
      <c r="H20" s="47">
        <v>2.5000000000000001E-2</v>
      </c>
      <c r="I20" s="16">
        <v>5000</v>
      </c>
      <c r="J20" s="16">
        <f t="shared" si="0"/>
        <v>190000</v>
      </c>
      <c r="K20" s="14">
        <f t="shared" si="1"/>
        <v>10000</v>
      </c>
      <c r="L20" s="15"/>
    </row>
    <row r="21" spans="1:12" x14ac:dyDescent="0.2">
      <c r="A21" s="22">
        <v>238779</v>
      </c>
      <c r="B21" s="15"/>
      <c r="C21" s="15" t="s">
        <v>38</v>
      </c>
      <c r="D21" s="15"/>
      <c r="E21" s="16"/>
      <c r="F21" s="16"/>
      <c r="G21" s="15"/>
      <c r="H21" s="47">
        <v>2.5000000000000001E-2</v>
      </c>
      <c r="I21" s="16">
        <v>5000</v>
      </c>
      <c r="J21" s="16">
        <f t="shared" si="0"/>
        <v>195000</v>
      </c>
      <c r="K21" s="14">
        <f t="shared" si="1"/>
        <v>5000</v>
      </c>
      <c r="L21" s="15"/>
    </row>
    <row r="22" spans="1:12" x14ac:dyDescent="0.2">
      <c r="A22" s="22">
        <v>239144</v>
      </c>
      <c r="B22" s="15"/>
      <c r="C22" s="15" t="s">
        <v>38</v>
      </c>
      <c r="D22" s="15"/>
      <c r="E22" s="16"/>
      <c r="F22" s="16"/>
      <c r="G22" s="15"/>
      <c r="H22" s="47">
        <v>2.5000000000000001E-2</v>
      </c>
      <c r="I22" s="16">
        <v>5000</v>
      </c>
      <c r="J22" s="16">
        <f t="shared" si="0"/>
        <v>200000</v>
      </c>
      <c r="K22" s="17" t="s">
        <v>36</v>
      </c>
      <c r="L22" s="15"/>
    </row>
    <row r="23" spans="1:12" x14ac:dyDescent="0.2">
      <c r="A23" s="22">
        <v>239509</v>
      </c>
      <c r="B23" s="15"/>
      <c r="C23" s="15" t="s">
        <v>38</v>
      </c>
      <c r="D23" s="15"/>
      <c r="E23" s="16"/>
      <c r="F23" s="16"/>
      <c r="G23" s="15"/>
      <c r="H23" s="47">
        <v>2.5000000000000001E-2</v>
      </c>
      <c r="I23" s="16">
        <v>5000</v>
      </c>
      <c r="J23" s="16">
        <f t="shared" si="0"/>
        <v>205000</v>
      </c>
      <c r="K23" s="17" t="s">
        <v>36</v>
      </c>
      <c r="L23" s="15"/>
    </row>
    <row r="24" spans="1:12" x14ac:dyDescent="0.2">
      <c r="A24" s="22">
        <v>239875</v>
      </c>
      <c r="B24" s="15"/>
      <c r="C24" s="15" t="s">
        <v>38</v>
      </c>
      <c r="D24" s="15"/>
      <c r="E24" s="16"/>
      <c r="F24" s="16"/>
      <c r="G24" s="15"/>
      <c r="H24" s="47">
        <v>2.5000000000000001E-2</v>
      </c>
      <c r="I24" s="16">
        <v>5000</v>
      </c>
      <c r="J24" s="16">
        <f t="shared" si="0"/>
        <v>210000</v>
      </c>
      <c r="K24" s="17" t="s">
        <v>36</v>
      </c>
      <c r="L24" s="15"/>
    </row>
    <row r="25" spans="1:12" x14ac:dyDescent="0.2">
      <c r="A25" s="23"/>
      <c r="B25" s="15"/>
      <c r="C25" s="15" t="s">
        <v>39</v>
      </c>
      <c r="D25" s="15"/>
      <c r="E25" s="16"/>
      <c r="F25" s="16"/>
      <c r="G25" s="15"/>
      <c r="H25" s="15"/>
      <c r="I25" s="35"/>
      <c r="J25" s="35"/>
      <c r="K25" s="16">
        <v>1</v>
      </c>
      <c r="L25" s="52" t="s">
        <v>65</v>
      </c>
    </row>
    <row r="26" spans="1:12" x14ac:dyDescent="0.2">
      <c r="A26" s="15"/>
      <c r="B26" s="15"/>
      <c r="C26" s="15"/>
      <c r="D26" s="15"/>
      <c r="E26" s="16"/>
      <c r="F26" s="16"/>
      <c r="G26" s="15"/>
      <c r="H26" s="15"/>
      <c r="I26" s="35"/>
      <c r="J26" s="35"/>
      <c r="K26" s="16"/>
      <c r="L26" s="52" t="s">
        <v>66</v>
      </c>
    </row>
    <row r="27" spans="1:12" x14ac:dyDescent="0.2">
      <c r="A27" s="15"/>
      <c r="B27" s="15"/>
      <c r="C27" s="15"/>
      <c r="D27" s="15"/>
      <c r="E27" s="16"/>
      <c r="F27" s="16"/>
      <c r="G27" s="15"/>
      <c r="H27" s="15"/>
      <c r="I27" s="16"/>
      <c r="J27" s="15"/>
      <c r="K27" s="16"/>
      <c r="L27" s="52" t="s">
        <v>67</v>
      </c>
    </row>
    <row r="28" spans="1:12" x14ac:dyDescent="0.2">
      <c r="A28" s="18"/>
      <c r="B28" s="18"/>
      <c r="C28" s="18"/>
      <c r="D28" s="18"/>
      <c r="E28" s="19"/>
      <c r="F28" s="19"/>
      <c r="G28" s="18"/>
      <c r="H28" s="18"/>
      <c r="I28" s="19"/>
      <c r="J28" s="18"/>
      <c r="K28" s="19"/>
      <c r="L28" s="18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1496062992125984" right="0.27559055118110237" top="0.74803149606299213" bottom="0.74803149606299213" header="0.31496062992125984" footer="0.31496062992125984"/>
  <pageSetup paperSize="9" scale="90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J16" sqref="J16"/>
    </sheetView>
  </sheetViews>
  <sheetFormatPr defaultColWidth="9.125" defaultRowHeight="18.75" x14ac:dyDescent="0.2"/>
  <cols>
    <col min="1" max="1" width="10.25" style="6" customWidth="1"/>
    <col min="2" max="2" width="8.75" style="6" customWidth="1"/>
    <col min="3" max="3" width="19.625" style="6" customWidth="1"/>
    <col min="4" max="4" width="9.125" style="6"/>
    <col min="5" max="6" width="11" style="7" customWidth="1"/>
    <col min="7" max="7" width="8.375" style="6" customWidth="1"/>
    <col min="8" max="8" width="9.125" style="6" customWidth="1"/>
    <col min="9" max="9" width="10.75" style="7" customWidth="1"/>
    <col min="10" max="10" width="10.75" style="6" customWidth="1"/>
    <col min="11" max="11" width="10.75" style="7" customWidth="1"/>
    <col min="12" max="12" width="20.37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83</v>
      </c>
      <c r="C3" s="94"/>
      <c r="G3" s="29" t="s">
        <v>54</v>
      </c>
      <c r="I3" s="28" t="s">
        <v>76</v>
      </c>
      <c r="J3" s="27"/>
      <c r="K3" s="26"/>
      <c r="L3" s="27"/>
    </row>
    <row r="4" spans="1:12" ht="19.5" x14ac:dyDescent="0.3">
      <c r="A4" s="29" t="s">
        <v>41</v>
      </c>
      <c r="B4" s="95" t="s">
        <v>46</v>
      </c>
      <c r="C4" s="95"/>
      <c r="D4" s="30" t="s">
        <v>44</v>
      </c>
      <c r="E4" s="25" t="s">
        <v>86</v>
      </c>
      <c r="F4" s="26"/>
      <c r="G4" s="29" t="s">
        <v>55</v>
      </c>
      <c r="I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G5" s="29" t="s">
        <v>56</v>
      </c>
      <c r="I5" s="34" t="s">
        <v>87</v>
      </c>
      <c r="J5" s="27"/>
      <c r="K5" s="33"/>
      <c r="L5" s="32"/>
    </row>
    <row r="6" spans="1:12" ht="19.5" x14ac:dyDescent="0.2">
      <c r="A6" s="29" t="s">
        <v>43</v>
      </c>
      <c r="B6" s="28" t="s">
        <v>85</v>
      </c>
      <c r="C6" s="27"/>
      <c r="D6" s="27"/>
      <c r="E6" s="26"/>
      <c r="F6" s="26"/>
      <c r="G6" s="24" t="s">
        <v>57</v>
      </c>
      <c r="I6" s="34" t="s">
        <v>88</v>
      </c>
      <c r="J6" s="32"/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89</v>
      </c>
      <c r="F7" s="26"/>
      <c r="G7" s="29" t="s">
        <v>61</v>
      </c>
      <c r="I7" s="28" t="s">
        <v>78</v>
      </c>
      <c r="J7" s="32"/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2" t="s">
        <v>20</v>
      </c>
      <c r="E9" s="1" t="s">
        <v>22</v>
      </c>
      <c r="F9" s="98" t="s">
        <v>24</v>
      </c>
      <c r="G9" s="2" t="s">
        <v>25</v>
      </c>
      <c r="H9" s="2" t="s">
        <v>26</v>
      </c>
      <c r="I9" s="1" t="s">
        <v>27</v>
      </c>
      <c r="J9" s="2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241336</v>
      </c>
      <c r="B11" s="39"/>
      <c r="C11" s="44" t="s">
        <v>90</v>
      </c>
      <c r="D11" s="40" t="s">
        <v>35</v>
      </c>
      <c r="E11" s="41">
        <v>9050000</v>
      </c>
      <c r="F11" s="41">
        <v>9050000</v>
      </c>
      <c r="G11" s="40">
        <v>40</v>
      </c>
      <c r="H11" s="42">
        <v>2.5000000000000001E-2</v>
      </c>
      <c r="I11" s="43">
        <v>226250</v>
      </c>
      <c r="J11" s="39" t="s">
        <v>36</v>
      </c>
      <c r="K11" s="43">
        <v>9050000</v>
      </c>
      <c r="L11" s="39"/>
    </row>
    <row r="12" spans="1:12" x14ac:dyDescent="0.2">
      <c r="A12" s="21">
        <v>241701</v>
      </c>
      <c r="B12" s="13"/>
      <c r="C12" s="13" t="s">
        <v>38</v>
      </c>
      <c r="D12" s="13"/>
      <c r="E12" s="14"/>
      <c r="F12" s="14"/>
      <c r="G12" s="13"/>
      <c r="H12" s="47">
        <v>2.5000000000000001E-2</v>
      </c>
      <c r="I12" s="14">
        <v>226250</v>
      </c>
      <c r="J12" s="14">
        <v>226250</v>
      </c>
      <c r="K12" s="14">
        <f>(K11-J12)</f>
        <v>8823750</v>
      </c>
      <c r="L12" s="13"/>
    </row>
    <row r="13" spans="1:12" x14ac:dyDescent="0.2">
      <c r="A13" s="22">
        <v>242066</v>
      </c>
      <c r="B13" s="15"/>
      <c r="C13" s="15" t="s">
        <v>38</v>
      </c>
      <c r="D13" s="15"/>
      <c r="E13" s="16"/>
      <c r="F13" s="16"/>
      <c r="G13" s="15"/>
      <c r="H13" s="47">
        <v>2.5000000000000001E-2</v>
      </c>
      <c r="I13" s="16">
        <f>I11</f>
        <v>226250</v>
      </c>
      <c r="J13" s="16">
        <f>(J12+I13)</f>
        <v>452500</v>
      </c>
      <c r="K13" s="14">
        <f>(K12-I13)</f>
        <v>8597500</v>
      </c>
      <c r="L13" s="15"/>
    </row>
    <row r="14" spans="1:12" x14ac:dyDescent="0.2">
      <c r="A14" s="22">
        <v>242431</v>
      </c>
      <c r="B14" s="15"/>
      <c r="C14" s="15" t="s">
        <v>38</v>
      </c>
      <c r="D14" s="15"/>
      <c r="E14" s="16"/>
      <c r="F14" s="16"/>
      <c r="G14" s="15"/>
      <c r="H14" s="47">
        <v>2.5000000000000001E-2</v>
      </c>
      <c r="I14" s="16">
        <f t="shared" ref="I14:I18" si="0">I12</f>
        <v>226250</v>
      </c>
      <c r="J14" s="16">
        <f t="shared" ref="J14:J18" si="1">(J13+I14)</f>
        <v>678750</v>
      </c>
      <c r="K14" s="14">
        <f t="shared" ref="K14:K18" si="2">(K13-I14)</f>
        <v>8371250</v>
      </c>
      <c r="L14" s="15"/>
    </row>
    <row r="15" spans="1:12" x14ac:dyDescent="0.2">
      <c r="A15" s="22">
        <v>242797</v>
      </c>
      <c r="B15" s="15"/>
      <c r="C15" s="15" t="s">
        <v>38</v>
      </c>
      <c r="D15" s="15"/>
      <c r="E15" s="16"/>
      <c r="F15" s="16"/>
      <c r="G15" s="15"/>
      <c r="H15" s="47">
        <v>2.5000000000000001E-2</v>
      </c>
      <c r="I15" s="16">
        <f t="shared" si="0"/>
        <v>226250</v>
      </c>
      <c r="J15" s="16">
        <f t="shared" si="1"/>
        <v>905000</v>
      </c>
      <c r="K15" s="14">
        <f t="shared" si="2"/>
        <v>8145000</v>
      </c>
      <c r="L15" s="15"/>
    </row>
    <row r="16" spans="1:12" x14ac:dyDescent="0.2">
      <c r="A16" s="22">
        <v>243162</v>
      </c>
      <c r="B16" s="15"/>
      <c r="C16" s="15" t="s">
        <v>38</v>
      </c>
      <c r="D16" s="15"/>
      <c r="E16" s="16"/>
      <c r="F16" s="16"/>
      <c r="G16" s="15"/>
      <c r="H16" s="47">
        <v>2.5000000000000001E-2</v>
      </c>
      <c r="I16" s="16">
        <f t="shared" si="0"/>
        <v>226250</v>
      </c>
      <c r="J16" s="16">
        <f t="shared" si="1"/>
        <v>1131250</v>
      </c>
      <c r="K16" s="14">
        <f t="shared" si="2"/>
        <v>7918750</v>
      </c>
      <c r="L16" s="15"/>
    </row>
    <row r="17" spans="1:12" x14ac:dyDescent="0.2">
      <c r="A17" s="22">
        <v>243527</v>
      </c>
      <c r="B17" s="15"/>
      <c r="C17" s="15" t="s">
        <v>38</v>
      </c>
      <c r="D17" s="15"/>
      <c r="E17" s="16"/>
      <c r="F17" s="16"/>
      <c r="G17" s="15"/>
      <c r="H17" s="47">
        <v>2.5000000000000001E-2</v>
      </c>
      <c r="I17" s="16">
        <f t="shared" si="0"/>
        <v>226250</v>
      </c>
      <c r="J17" s="16">
        <f t="shared" si="1"/>
        <v>1357500</v>
      </c>
      <c r="K17" s="14">
        <f t="shared" si="2"/>
        <v>7692500</v>
      </c>
      <c r="L17" s="15"/>
    </row>
    <row r="18" spans="1:12" x14ac:dyDescent="0.2">
      <c r="A18" s="22">
        <v>243892</v>
      </c>
      <c r="B18" s="15"/>
      <c r="C18" s="15" t="s">
        <v>38</v>
      </c>
      <c r="D18" s="15"/>
      <c r="E18" s="16"/>
      <c r="F18" s="16"/>
      <c r="G18" s="15"/>
      <c r="H18" s="47">
        <v>2.5000000000000001E-2</v>
      </c>
      <c r="I18" s="16">
        <f t="shared" si="0"/>
        <v>226250</v>
      </c>
      <c r="J18" s="16">
        <f t="shared" si="1"/>
        <v>1583750</v>
      </c>
      <c r="K18" s="14">
        <f t="shared" si="2"/>
        <v>7466250</v>
      </c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15"/>
      <c r="I19" s="16"/>
      <c r="J19" s="16"/>
      <c r="K19" s="14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15"/>
      <c r="I20" s="16"/>
      <c r="J20" s="16"/>
      <c r="K20" s="14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15"/>
      <c r="I21" s="16"/>
      <c r="J21" s="16"/>
      <c r="K21" s="14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15"/>
      <c r="I22" s="16"/>
      <c r="J22" s="16"/>
      <c r="K22" s="17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15"/>
      <c r="I23" s="16"/>
      <c r="J23" s="16"/>
      <c r="K23" s="17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15"/>
      <c r="I24" s="16"/>
      <c r="J24" s="16"/>
      <c r="K24" s="17"/>
      <c r="L24" s="15"/>
    </row>
    <row r="25" spans="1:12" x14ac:dyDescent="0.2">
      <c r="A25" s="23"/>
      <c r="B25" s="15"/>
      <c r="C25" s="15"/>
      <c r="D25" s="15"/>
      <c r="E25" s="16"/>
      <c r="F25" s="16"/>
      <c r="G25" s="15"/>
      <c r="H25" s="15"/>
      <c r="I25" s="35"/>
      <c r="J25" s="35"/>
      <c r="K25" s="16"/>
      <c r="L25" s="15"/>
    </row>
    <row r="26" spans="1:12" x14ac:dyDescent="0.2">
      <c r="A26" s="15"/>
      <c r="B26" s="15"/>
      <c r="C26" s="15"/>
      <c r="D26" s="15"/>
      <c r="E26" s="16"/>
      <c r="F26" s="16"/>
      <c r="G26" s="15"/>
      <c r="H26" s="15"/>
      <c r="I26" s="35"/>
      <c r="J26" s="35"/>
      <c r="K26" s="16"/>
      <c r="L26" s="15"/>
    </row>
    <row r="27" spans="1:12" x14ac:dyDescent="0.2">
      <c r="A27" s="15"/>
      <c r="B27" s="15"/>
      <c r="C27" s="15"/>
      <c r="D27" s="15"/>
      <c r="E27" s="16"/>
      <c r="F27" s="16"/>
      <c r="G27" s="15"/>
      <c r="H27" s="15"/>
      <c r="I27" s="16"/>
      <c r="J27" s="15"/>
      <c r="K27" s="16"/>
      <c r="L27" s="15"/>
    </row>
    <row r="28" spans="1:12" x14ac:dyDescent="0.2">
      <c r="A28" s="18"/>
      <c r="B28" s="18"/>
      <c r="C28" s="18"/>
      <c r="D28" s="18"/>
      <c r="E28" s="19"/>
      <c r="F28" s="19"/>
      <c r="G28" s="18"/>
      <c r="H28" s="18"/>
      <c r="I28" s="19"/>
      <c r="J28" s="18"/>
      <c r="K28" s="19"/>
      <c r="L28" s="18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1496062992125984" right="0.27559055118110237" top="0.74803149606299213" bottom="0.74803149606299213" header="0.31496062992125984" footer="0.31496062992125984"/>
  <pageSetup paperSize="9" scale="90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zoomScaleNormal="100" workbookViewId="0">
      <selection activeCell="N25" sqref="N25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2.375" style="6" customWidth="1"/>
    <col min="4" max="4" width="8.62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45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91</v>
      </c>
      <c r="C4" s="95"/>
      <c r="D4" s="30" t="s">
        <v>44</v>
      </c>
      <c r="E4" s="25" t="s">
        <v>92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6" t="s">
        <v>94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36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89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2" t="s">
        <v>20</v>
      </c>
      <c r="E9" s="1" t="s">
        <v>22</v>
      </c>
      <c r="F9" s="98" t="s">
        <v>24</v>
      </c>
      <c r="G9" s="2" t="s">
        <v>25</v>
      </c>
      <c r="H9" s="2" t="s">
        <v>26</v>
      </c>
      <c r="I9" s="1" t="s">
        <v>27</v>
      </c>
      <c r="J9" s="2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236210</v>
      </c>
      <c r="B11" s="100"/>
      <c r="C11" s="11" t="s">
        <v>102</v>
      </c>
      <c r="D11" s="100" t="s">
        <v>95</v>
      </c>
      <c r="E11" s="98">
        <v>1350000</v>
      </c>
      <c r="F11" s="98">
        <v>1350000</v>
      </c>
      <c r="G11" s="112" t="s">
        <v>64</v>
      </c>
      <c r="H11" s="113">
        <v>0.125</v>
      </c>
      <c r="I11" s="98">
        <v>168750</v>
      </c>
      <c r="J11" s="100" t="s">
        <v>36</v>
      </c>
      <c r="K11" s="98">
        <v>1350000</v>
      </c>
      <c r="L11" s="110" t="s">
        <v>190</v>
      </c>
    </row>
    <row r="12" spans="1:12" x14ac:dyDescent="0.2">
      <c r="A12" s="103"/>
      <c r="B12" s="105"/>
      <c r="C12" s="13" t="s">
        <v>163</v>
      </c>
      <c r="D12" s="105"/>
      <c r="E12" s="109"/>
      <c r="F12" s="109"/>
      <c r="G12" s="105"/>
      <c r="H12" s="107"/>
      <c r="I12" s="109"/>
      <c r="J12" s="105"/>
      <c r="K12" s="109"/>
      <c r="L12" s="111"/>
    </row>
    <row r="13" spans="1:12" x14ac:dyDescent="0.2">
      <c r="A13" s="22">
        <v>238767</v>
      </c>
      <c r="B13" s="15"/>
      <c r="C13" s="15" t="s">
        <v>172</v>
      </c>
      <c r="D13" s="15"/>
      <c r="E13" s="16"/>
      <c r="F13" s="16"/>
      <c r="G13" s="23">
        <v>7</v>
      </c>
      <c r="H13" s="46">
        <v>0.125</v>
      </c>
      <c r="I13" s="16">
        <v>1181250</v>
      </c>
      <c r="J13" s="16">
        <v>1181250</v>
      </c>
      <c r="K13" s="16">
        <f>(K11-J13)</f>
        <v>168750</v>
      </c>
      <c r="L13" s="15"/>
    </row>
    <row r="14" spans="1:12" x14ac:dyDescent="0.2">
      <c r="A14" s="22">
        <v>239132</v>
      </c>
      <c r="B14" s="15"/>
      <c r="C14" s="15" t="s">
        <v>38</v>
      </c>
      <c r="D14" s="15"/>
      <c r="E14" s="16"/>
      <c r="F14" s="16"/>
      <c r="G14" s="23">
        <v>8</v>
      </c>
      <c r="H14" s="46">
        <v>0.125</v>
      </c>
      <c r="I14" s="16">
        <v>168750</v>
      </c>
      <c r="J14" s="16">
        <f>(J13+I14)</f>
        <v>1350000</v>
      </c>
      <c r="K14" s="16">
        <f>(K13-I14)</f>
        <v>0</v>
      </c>
      <c r="L14" s="15"/>
    </row>
    <row r="15" spans="1:12" x14ac:dyDescent="0.2">
      <c r="A15" s="22">
        <v>239497</v>
      </c>
      <c r="B15" s="15"/>
      <c r="C15" s="15" t="s">
        <v>38</v>
      </c>
      <c r="D15" s="15"/>
      <c r="E15" s="16"/>
      <c r="F15" s="16"/>
      <c r="G15" s="23">
        <v>9</v>
      </c>
      <c r="H15" s="46">
        <v>0.125</v>
      </c>
      <c r="I15" s="16">
        <v>168750</v>
      </c>
      <c r="J15" s="16">
        <f t="shared" ref="J15:J17" si="0">(J14+I15)</f>
        <v>1518750</v>
      </c>
      <c r="K15" s="16"/>
      <c r="L15" s="15"/>
    </row>
    <row r="16" spans="1:12" x14ac:dyDescent="0.2">
      <c r="A16" s="22">
        <v>239863</v>
      </c>
      <c r="B16" s="15"/>
      <c r="C16" s="15" t="s">
        <v>38</v>
      </c>
      <c r="D16" s="15"/>
      <c r="E16" s="16"/>
      <c r="F16" s="16"/>
      <c r="G16" s="23">
        <v>10</v>
      </c>
      <c r="H16" s="46">
        <v>0.125</v>
      </c>
      <c r="I16" s="16">
        <f t="shared" ref="I16:I26" si="1">I14</f>
        <v>168750</v>
      </c>
      <c r="J16" s="16">
        <f t="shared" si="0"/>
        <v>1687500</v>
      </c>
      <c r="K16" s="16"/>
      <c r="L16" s="15"/>
    </row>
    <row r="17" spans="1:12" x14ac:dyDescent="0.2">
      <c r="A17" s="22">
        <v>240228</v>
      </c>
      <c r="B17" s="15"/>
      <c r="C17" s="15" t="s">
        <v>96</v>
      </c>
      <c r="D17" s="15"/>
      <c r="E17" s="16"/>
      <c r="F17" s="16"/>
      <c r="G17" s="23">
        <v>11</v>
      </c>
      <c r="H17" s="46">
        <v>0.125</v>
      </c>
      <c r="I17" s="16">
        <f t="shared" si="1"/>
        <v>168750</v>
      </c>
      <c r="J17" s="16">
        <f t="shared" si="0"/>
        <v>1856250</v>
      </c>
      <c r="K17" s="16">
        <v>1</v>
      </c>
      <c r="L17" s="52" t="s">
        <v>65</v>
      </c>
    </row>
    <row r="18" spans="1:12" x14ac:dyDescent="0.2">
      <c r="A18" s="22"/>
      <c r="B18" s="15"/>
      <c r="C18" s="15"/>
      <c r="D18" s="15"/>
      <c r="E18" s="16"/>
      <c r="F18" s="16"/>
      <c r="G18" s="23"/>
      <c r="H18" s="46"/>
      <c r="I18" s="16"/>
      <c r="J18" s="16"/>
      <c r="K18" s="16"/>
      <c r="L18" s="52" t="s">
        <v>66</v>
      </c>
    </row>
    <row r="19" spans="1:12" x14ac:dyDescent="0.2">
      <c r="A19" s="22"/>
      <c r="B19" s="15"/>
      <c r="C19" s="15"/>
      <c r="D19" s="15"/>
      <c r="E19" s="16"/>
      <c r="F19" s="16"/>
      <c r="G19" s="23"/>
      <c r="H19" s="46"/>
      <c r="I19" s="16"/>
      <c r="J19" s="16"/>
      <c r="K19" s="16"/>
      <c r="L19" s="52" t="s">
        <v>67</v>
      </c>
    </row>
    <row r="20" spans="1:12" x14ac:dyDescent="0.2">
      <c r="A20" s="22">
        <v>240525</v>
      </c>
      <c r="B20" s="15"/>
      <c r="C20" s="15" t="s">
        <v>173</v>
      </c>
      <c r="D20" s="15"/>
      <c r="E20" s="16">
        <v>3000</v>
      </c>
      <c r="F20" s="16">
        <v>3000</v>
      </c>
      <c r="G20" s="23">
        <v>12</v>
      </c>
      <c r="H20" s="46">
        <v>0.125</v>
      </c>
      <c r="I20" s="16">
        <v>375.125</v>
      </c>
      <c r="J20" s="16">
        <f>(J17+I20)</f>
        <v>1856625.125</v>
      </c>
      <c r="K20" s="16">
        <v>3001</v>
      </c>
      <c r="L20" s="13"/>
    </row>
    <row r="21" spans="1:12" x14ac:dyDescent="0.2">
      <c r="A21" s="22">
        <v>240890</v>
      </c>
      <c r="B21" s="15"/>
      <c r="C21" s="15" t="s">
        <v>38</v>
      </c>
      <c r="D21" s="15"/>
      <c r="E21" s="16"/>
      <c r="F21" s="16"/>
      <c r="G21" s="23">
        <v>13</v>
      </c>
      <c r="H21" s="46">
        <v>0.125</v>
      </c>
      <c r="I21" s="16">
        <v>375.125</v>
      </c>
      <c r="J21" s="16">
        <f>(J20+I21)</f>
        <v>1857000.25</v>
      </c>
      <c r="K21" s="84">
        <f>(K20-I21)</f>
        <v>2625.875</v>
      </c>
      <c r="L21" s="15"/>
    </row>
    <row r="22" spans="1:12" x14ac:dyDescent="0.2">
      <c r="A22" s="22">
        <v>241256</v>
      </c>
      <c r="B22" s="15"/>
      <c r="C22" s="15" t="s">
        <v>38</v>
      </c>
      <c r="D22" s="15"/>
      <c r="E22" s="16"/>
      <c r="F22" s="16"/>
      <c r="G22" s="23">
        <v>14</v>
      </c>
      <c r="H22" s="46">
        <v>0.125</v>
      </c>
      <c r="I22" s="16">
        <f t="shared" si="1"/>
        <v>375.125</v>
      </c>
      <c r="J22" s="16">
        <f>(J21+I22)</f>
        <v>1857375.375</v>
      </c>
      <c r="K22" s="16">
        <f t="shared" ref="K22:K29" si="2">(K21-I22)</f>
        <v>2250.75</v>
      </c>
      <c r="L22" s="15"/>
    </row>
    <row r="23" spans="1:12" x14ac:dyDescent="0.2">
      <c r="A23" s="22">
        <v>241586</v>
      </c>
      <c r="B23" s="15"/>
      <c r="C23" s="15" t="s">
        <v>174</v>
      </c>
      <c r="D23" s="15"/>
      <c r="E23" s="16">
        <v>26750</v>
      </c>
      <c r="F23" s="16">
        <v>26750</v>
      </c>
      <c r="G23" s="23">
        <v>15</v>
      </c>
      <c r="H23" s="46">
        <v>0.125</v>
      </c>
      <c r="I23" s="16">
        <v>3625.09375</v>
      </c>
      <c r="J23" s="16">
        <f t="shared" ref="J23:J29" si="3">(J22+I23)</f>
        <v>1861000.46875</v>
      </c>
      <c r="K23" s="84">
        <v>29000.75</v>
      </c>
      <c r="L23" s="15"/>
    </row>
    <row r="24" spans="1:12" x14ac:dyDescent="0.2">
      <c r="A24" s="22">
        <v>241878</v>
      </c>
      <c r="B24" s="15"/>
      <c r="C24" s="15" t="s">
        <v>173</v>
      </c>
      <c r="D24" s="15"/>
      <c r="E24" s="16">
        <v>3531</v>
      </c>
      <c r="F24" s="16">
        <v>3531</v>
      </c>
      <c r="G24" s="23">
        <v>16</v>
      </c>
      <c r="H24" s="46">
        <v>0.125</v>
      </c>
      <c r="I24" s="16">
        <v>4066.46875</v>
      </c>
      <c r="J24" s="16">
        <f t="shared" si="3"/>
        <v>1865066.9375</v>
      </c>
      <c r="K24" s="84">
        <v>32531.75</v>
      </c>
      <c r="L24" s="15"/>
    </row>
    <row r="25" spans="1:12" x14ac:dyDescent="0.2">
      <c r="A25" s="22">
        <v>242243</v>
      </c>
      <c r="B25" s="15"/>
      <c r="C25" s="15" t="s">
        <v>38</v>
      </c>
      <c r="D25" s="15"/>
      <c r="E25" s="16"/>
      <c r="F25" s="16"/>
      <c r="G25" s="23">
        <v>17</v>
      </c>
      <c r="H25" s="46">
        <v>0.125</v>
      </c>
      <c r="I25" s="16">
        <v>4066.46875</v>
      </c>
      <c r="J25" s="16">
        <f t="shared" si="3"/>
        <v>1869133.40625</v>
      </c>
      <c r="K25" s="16">
        <f t="shared" si="2"/>
        <v>28465.28125</v>
      </c>
      <c r="L25" s="15"/>
    </row>
    <row r="26" spans="1:12" x14ac:dyDescent="0.2">
      <c r="A26" s="22">
        <v>242609</v>
      </c>
      <c r="B26" s="15"/>
      <c r="C26" s="15" t="s">
        <v>38</v>
      </c>
      <c r="D26" s="15"/>
      <c r="E26" s="16"/>
      <c r="F26" s="16"/>
      <c r="G26" s="23">
        <v>18</v>
      </c>
      <c r="H26" s="46">
        <v>0.125</v>
      </c>
      <c r="I26" s="16">
        <f t="shared" si="1"/>
        <v>4066.46875</v>
      </c>
      <c r="J26" s="16">
        <f t="shared" si="3"/>
        <v>1873199.875</v>
      </c>
      <c r="K26" s="16">
        <f t="shared" si="2"/>
        <v>24398.8125</v>
      </c>
      <c r="L26" s="15"/>
    </row>
    <row r="27" spans="1:12" x14ac:dyDescent="0.2">
      <c r="A27" s="22">
        <v>242974</v>
      </c>
      <c r="B27" s="15"/>
      <c r="C27" s="15" t="s">
        <v>38</v>
      </c>
      <c r="D27" s="15"/>
      <c r="E27" s="16"/>
      <c r="F27" s="16"/>
      <c r="G27" s="23">
        <v>19</v>
      </c>
      <c r="H27" s="46">
        <v>0.125</v>
      </c>
      <c r="I27" s="16">
        <f>I25</f>
        <v>4066.46875</v>
      </c>
      <c r="J27" s="16">
        <f t="shared" si="3"/>
        <v>1877266.34375</v>
      </c>
      <c r="K27" s="16">
        <f t="shared" si="2"/>
        <v>20332.34375</v>
      </c>
      <c r="L27" s="15"/>
    </row>
    <row r="28" spans="1:12" x14ac:dyDescent="0.2">
      <c r="A28" s="22">
        <v>243339</v>
      </c>
      <c r="B28" s="15"/>
      <c r="C28" s="15" t="s">
        <v>38</v>
      </c>
      <c r="D28" s="15"/>
      <c r="E28" s="16"/>
      <c r="F28" s="16"/>
      <c r="G28" s="23">
        <v>20</v>
      </c>
      <c r="H28" s="46">
        <v>0.125</v>
      </c>
      <c r="I28" s="16">
        <f t="shared" ref="I28:I29" si="4">I26</f>
        <v>4066.46875</v>
      </c>
      <c r="J28" s="16">
        <f t="shared" si="3"/>
        <v>1881332.8125</v>
      </c>
      <c r="K28" s="16">
        <f t="shared" si="2"/>
        <v>16265.875</v>
      </c>
      <c r="L28" s="37"/>
    </row>
    <row r="29" spans="1:12" x14ac:dyDescent="0.2">
      <c r="A29" s="22">
        <v>243704</v>
      </c>
      <c r="B29" s="15"/>
      <c r="C29" s="15" t="s">
        <v>38</v>
      </c>
      <c r="D29" s="15"/>
      <c r="E29" s="16"/>
      <c r="F29" s="16"/>
      <c r="G29" s="23">
        <v>21</v>
      </c>
      <c r="H29" s="46">
        <v>0.125</v>
      </c>
      <c r="I29" s="16">
        <f t="shared" si="4"/>
        <v>4066.46875</v>
      </c>
      <c r="J29" s="16">
        <f t="shared" si="3"/>
        <v>1885399.28125</v>
      </c>
      <c r="K29" s="16">
        <f t="shared" si="2"/>
        <v>12199.40625</v>
      </c>
      <c r="L29" s="37"/>
    </row>
    <row r="30" spans="1:12" x14ac:dyDescent="0.2">
      <c r="A30" s="18"/>
      <c r="B30" s="18"/>
      <c r="C30" s="18"/>
      <c r="D30" s="18"/>
      <c r="E30" s="19"/>
      <c r="F30" s="19"/>
      <c r="G30" s="18"/>
      <c r="H30" s="18"/>
      <c r="I30" s="19"/>
      <c r="J30" s="18"/>
      <c r="K30" s="19"/>
      <c r="L30" s="53"/>
    </row>
  </sheetData>
  <mergeCells count="20">
    <mergeCell ref="L11:L12"/>
    <mergeCell ref="G11:G12"/>
    <mergeCell ref="H11:H12"/>
    <mergeCell ref="I11:I12"/>
    <mergeCell ref="J11:J12"/>
    <mergeCell ref="K11:K12"/>
    <mergeCell ref="A11:A12"/>
    <mergeCell ref="B11:B12"/>
    <mergeCell ref="D11:D12"/>
    <mergeCell ref="E11:E12"/>
    <mergeCell ref="F11:F12"/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27559055118110237" right="0.31496062992125984" top="0.53" bottom="0.49" header="0.31496062992125984" footer="0.31496062992125984"/>
  <pageSetup paperSize="9" scale="90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10" sqref="C10"/>
    </sheetView>
  </sheetViews>
  <sheetFormatPr defaultRowHeight="21" x14ac:dyDescent="0.35"/>
  <cols>
    <col min="1" max="1" width="8.125" style="123" customWidth="1"/>
    <col min="2" max="2" width="12.375" style="123" customWidth="1"/>
    <col min="3" max="3" width="71.125" style="123" customWidth="1"/>
    <col min="4" max="4" width="13.25" style="123" customWidth="1"/>
    <col min="5" max="5" width="34.125" style="123" customWidth="1"/>
    <col min="6" max="16384" width="9" style="123"/>
  </cols>
  <sheetData>
    <row r="1" spans="1:5" ht="26.25" customHeight="1" x14ac:dyDescent="0.35">
      <c r="A1" s="120" t="s">
        <v>193</v>
      </c>
      <c r="B1" s="121"/>
      <c r="C1" s="121"/>
      <c r="D1" s="121"/>
      <c r="E1" s="122"/>
    </row>
    <row r="2" spans="1:5" ht="21" customHeight="1" x14ac:dyDescent="0.35">
      <c r="A2" s="124" t="s">
        <v>221</v>
      </c>
      <c r="B2" s="125"/>
      <c r="C2" s="125"/>
      <c r="D2" s="125"/>
      <c r="E2" s="126"/>
    </row>
    <row r="3" spans="1:5" ht="9.9499999999999993" customHeight="1" x14ac:dyDescent="0.35">
      <c r="A3" s="127"/>
      <c r="B3" s="127"/>
      <c r="C3" s="127"/>
      <c r="D3" s="127"/>
      <c r="E3" s="127"/>
    </row>
    <row r="4" spans="1:5" ht="23.25" customHeight="1" x14ac:dyDescent="0.35">
      <c r="A4" s="128" t="s">
        <v>194</v>
      </c>
      <c r="B4" s="128" t="s">
        <v>195</v>
      </c>
      <c r="C4" s="128" t="s">
        <v>19</v>
      </c>
      <c r="D4" s="128" t="s">
        <v>196</v>
      </c>
      <c r="E4" s="128" t="s">
        <v>31</v>
      </c>
    </row>
    <row r="5" spans="1:5" x14ac:dyDescent="0.35">
      <c r="A5" s="128"/>
      <c r="B5" s="128"/>
      <c r="C5" s="128"/>
      <c r="D5" s="128"/>
      <c r="E5" s="128"/>
    </row>
    <row r="6" spans="1:5" x14ac:dyDescent="0.35">
      <c r="A6" s="129">
        <v>1</v>
      </c>
      <c r="B6" s="130" t="s">
        <v>222</v>
      </c>
      <c r="C6" s="142" t="s">
        <v>223</v>
      </c>
      <c r="D6" s="137">
        <v>3000</v>
      </c>
      <c r="E6" s="159" t="s">
        <v>224</v>
      </c>
    </row>
    <row r="7" spans="1:5" x14ac:dyDescent="0.35">
      <c r="A7" s="139"/>
      <c r="B7" s="139"/>
      <c r="C7" s="139"/>
      <c r="D7" s="139"/>
      <c r="E7" s="139"/>
    </row>
    <row r="8" spans="1:5" x14ac:dyDescent="0.35">
      <c r="A8" s="129">
        <v>3</v>
      </c>
      <c r="B8" s="129" t="s">
        <v>225</v>
      </c>
      <c r="C8" s="131" t="s">
        <v>226</v>
      </c>
      <c r="D8" s="152">
        <v>26750</v>
      </c>
      <c r="E8" s="131" t="s">
        <v>227</v>
      </c>
    </row>
    <row r="9" spans="1:5" x14ac:dyDescent="0.35">
      <c r="A9" s="135"/>
      <c r="B9" s="135"/>
      <c r="C9" s="135"/>
      <c r="D9" s="135"/>
      <c r="E9" s="135"/>
    </row>
    <row r="10" spans="1:5" x14ac:dyDescent="0.35">
      <c r="A10" s="129">
        <v>2</v>
      </c>
      <c r="B10" s="160" t="s">
        <v>228</v>
      </c>
      <c r="C10" s="161" t="s">
        <v>229</v>
      </c>
      <c r="D10" s="162">
        <v>3531</v>
      </c>
      <c r="E10" s="163" t="s">
        <v>224</v>
      </c>
    </row>
    <row r="11" spans="1:5" x14ac:dyDescent="0.35">
      <c r="A11" s="135"/>
      <c r="B11" s="135"/>
      <c r="C11" s="135"/>
      <c r="D11" s="135"/>
      <c r="E11" s="135"/>
    </row>
    <row r="12" spans="1:5" x14ac:dyDescent="0.35">
      <c r="A12" s="164"/>
      <c r="B12" s="164"/>
      <c r="C12" s="164"/>
      <c r="D12" s="164"/>
      <c r="E12" s="164"/>
    </row>
    <row r="13" spans="1:5" x14ac:dyDescent="0.35">
      <c r="A13" s="139"/>
      <c r="B13" s="139"/>
      <c r="C13" s="139"/>
      <c r="D13" s="139"/>
      <c r="E13" s="139"/>
    </row>
    <row r="14" spans="1:5" x14ac:dyDescent="0.35">
      <c r="A14" s="139"/>
      <c r="B14" s="139"/>
      <c r="C14" s="139"/>
      <c r="D14" s="139"/>
      <c r="E14" s="139"/>
    </row>
    <row r="15" spans="1:5" x14ac:dyDescent="0.35">
      <c r="A15" s="139"/>
      <c r="B15" s="139"/>
      <c r="C15" s="139"/>
      <c r="D15" s="139"/>
      <c r="E15" s="139"/>
    </row>
    <row r="16" spans="1:5" x14ac:dyDescent="0.35">
      <c r="A16" s="139"/>
      <c r="B16" s="139"/>
      <c r="C16" s="139"/>
      <c r="D16" s="139"/>
      <c r="E16" s="139"/>
    </row>
    <row r="17" spans="1:5" x14ac:dyDescent="0.35">
      <c r="A17" s="139"/>
      <c r="B17" s="139"/>
      <c r="C17" s="139"/>
      <c r="D17" s="139"/>
      <c r="E17" s="139"/>
    </row>
    <row r="18" spans="1:5" x14ac:dyDescent="0.35">
      <c r="A18" s="139"/>
      <c r="B18" s="139"/>
      <c r="C18" s="139"/>
      <c r="D18" s="139"/>
      <c r="E18" s="139"/>
    </row>
    <row r="19" spans="1:5" x14ac:dyDescent="0.35">
      <c r="A19" s="139"/>
      <c r="B19" s="139"/>
      <c r="C19" s="139"/>
      <c r="D19" s="139"/>
      <c r="E19" s="139"/>
    </row>
    <row r="20" spans="1:5" x14ac:dyDescent="0.35">
      <c r="A20" s="139"/>
      <c r="B20" s="139"/>
      <c r="C20" s="139"/>
      <c r="D20" s="139"/>
      <c r="E20" s="139"/>
    </row>
    <row r="21" spans="1:5" x14ac:dyDescent="0.35">
      <c r="A21" s="139"/>
      <c r="B21" s="139"/>
      <c r="C21" s="139"/>
      <c r="D21" s="139"/>
      <c r="E21" s="139"/>
    </row>
    <row r="22" spans="1:5" x14ac:dyDescent="0.35">
      <c r="A22" s="139"/>
      <c r="B22" s="139"/>
      <c r="C22" s="139"/>
      <c r="D22" s="139"/>
      <c r="E22" s="139"/>
    </row>
    <row r="23" spans="1:5" x14ac:dyDescent="0.35">
      <c r="A23" s="139"/>
      <c r="B23" s="139"/>
      <c r="C23" s="139"/>
      <c r="D23" s="139"/>
      <c r="E23" s="139"/>
    </row>
    <row r="24" spans="1:5" x14ac:dyDescent="0.35">
      <c r="A24" s="139"/>
      <c r="B24" s="139"/>
      <c r="C24" s="139"/>
      <c r="D24" s="139"/>
      <c r="E24" s="139"/>
    </row>
    <row r="25" spans="1:5" x14ac:dyDescent="0.35">
      <c r="A25" s="139"/>
      <c r="B25" s="139"/>
      <c r="C25" s="139"/>
      <c r="D25" s="139"/>
      <c r="E25" s="139"/>
    </row>
    <row r="26" spans="1:5" x14ac:dyDescent="0.35">
      <c r="A26" s="139"/>
      <c r="B26" s="139"/>
      <c r="C26" s="139"/>
      <c r="D26" s="139"/>
      <c r="E26" s="139"/>
    </row>
    <row r="27" spans="1:5" x14ac:dyDescent="0.35">
      <c r="A27" s="135"/>
      <c r="B27" s="135"/>
      <c r="C27" s="135"/>
      <c r="D27" s="135"/>
      <c r="E27" s="135"/>
    </row>
  </sheetData>
  <mergeCells count="7">
    <mergeCell ref="A1:E1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F17" sqref="F17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2.75" style="6" customWidth="1"/>
    <col min="4" max="4" width="9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.37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68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91</v>
      </c>
      <c r="C4" s="95"/>
      <c r="D4" s="30" t="s">
        <v>44</v>
      </c>
      <c r="E4" s="25" t="s">
        <v>98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97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36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89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232169</v>
      </c>
      <c r="B11" s="39"/>
      <c r="C11" s="45" t="s">
        <v>99</v>
      </c>
      <c r="D11" s="40" t="s">
        <v>95</v>
      </c>
      <c r="E11" s="48" t="s">
        <v>64</v>
      </c>
      <c r="F11" s="48" t="s">
        <v>64</v>
      </c>
      <c r="G11" s="40">
        <v>10</v>
      </c>
      <c r="H11" s="56">
        <v>0.1</v>
      </c>
      <c r="I11" s="48" t="s">
        <v>64</v>
      </c>
      <c r="J11" s="49" t="s">
        <v>64</v>
      </c>
      <c r="K11" s="48" t="s">
        <v>64</v>
      </c>
      <c r="L11" s="39"/>
    </row>
    <row r="12" spans="1:12" x14ac:dyDescent="0.2">
      <c r="A12" s="22">
        <v>232535</v>
      </c>
      <c r="B12" s="15"/>
      <c r="C12" s="15" t="s">
        <v>38</v>
      </c>
      <c r="D12" s="15"/>
      <c r="E12" s="16"/>
      <c r="F12" s="16"/>
      <c r="G12" s="15"/>
      <c r="H12" s="46"/>
      <c r="I12" s="35" t="s">
        <v>64</v>
      </c>
      <c r="J12" s="35" t="s">
        <v>64</v>
      </c>
      <c r="K12" s="35" t="s">
        <v>64</v>
      </c>
      <c r="L12" s="15"/>
    </row>
    <row r="13" spans="1:12" x14ac:dyDescent="0.2">
      <c r="A13" s="22">
        <v>232900</v>
      </c>
      <c r="B13" s="15"/>
      <c r="C13" s="15" t="s">
        <v>38</v>
      </c>
      <c r="D13" s="15"/>
      <c r="E13" s="16"/>
      <c r="F13" s="16"/>
      <c r="G13" s="15"/>
      <c r="H13" s="46"/>
      <c r="I13" s="35" t="s">
        <v>64</v>
      </c>
      <c r="J13" s="35" t="s">
        <v>64</v>
      </c>
      <c r="K13" s="35" t="s">
        <v>64</v>
      </c>
      <c r="L13" s="15"/>
    </row>
    <row r="14" spans="1:12" x14ac:dyDescent="0.2">
      <c r="A14" s="22">
        <v>233265</v>
      </c>
      <c r="B14" s="15"/>
      <c r="C14" s="15" t="s">
        <v>38</v>
      </c>
      <c r="D14" s="15"/>
      <c r="E14" s="16"/>
      <c r="F14" s="16"/>
      <c r="G14" s="15"/>
      <c r="H14" s="46"/>
      <c r="I14" s="35" t="s">
        <v>64</v>
      </c>
      <c r="J14" s="35" t="s">
        <v>64</v>
      </c>
      <c r="K14" s="35" t="s">
        <v>64</v>
      </c>
      <c r="L14" s="15"/>
    </row>
    <row r="15" spans="1:12" x14ac:dyDescent="0.2">
      <c r="A15" s="22">
        <v>233630</v>
      </c>
      <c r="B15" s="15"/>
      <c r="C15" s="15" t="s">
        <v>38</v>
      </c>
      <c r="D15" s="15"/>
      <c r="E15" s="16"/>
      <c r="F15" s="16"/>
      <c r="G15" s="15"/>
      <c r="H15" s="46"/>
      <c r="I15" s="35" t="s">
        <v>64</v>
      </c>
      <c r="J15" s="35" t="s">
        <v>64</v>
      </c>
      <c r="K15" s="35" t="s">
        <v>64</v>
      </c>
      <c r="L15" s="15"/>
    </row>
    <row r="16" spans="1:12" x14ac:dyDescent="0.2">
      <c r="A16" s="22">
        <v>233996</v>
      </c>
      <c r="B16" s="15"/>
      <c r="C16" s="15" t="s">
        <v>38</v>
      </c>
      <c r="D16" s="15"/>
      <c r="E16" s="16"/>
      <c r="F16" s="16"/>
      <c r="G16" s="15"/>
      <c r="H16" s="46"/>
      <c r="I16" s="35" t="s">
        <v>64</v>
      </c>
      <c r="J16" s="35" t="s">
        <v>64</v>
      </c>
      <c r="K16" s="35" t="s">
        <v>64</v>
      </c>
      <c r="L16" s="15"/>
    </row>
    <row r="17" spans="1:12" x14ac:dyDescent="0.2">
      <c r="A17" s="22">
        <v>234361</v>
      </c>
      <c r="B17" s="15"/>
      <c r="C17" s="15" t="s">
        <v>38</v>
      </c>
      <c r="D17" s="15"/>
      <c r="E17" s="16"/>
      <c r="F17" s="16"/>
      <c r="G17" s="15"/>
      <c r="H17" s="46"/>
      <c r="I17" s="35" t="s">
        <v>64</v>
      </c>
      <c r="J17" s="35" t="s">
        <v>64</v>
      </c>
      <c r="K17" s="35" t="s">
        <v>64</v>
      </c>
      <c r="L17" s="15"/>
    </row>
    <row r="18" spans="1:12" x14ac:dyDescent="0.2">
      <c r="A18" s="22">
        <v>234726</v>
      </c>
      <c r="B18" s="15"/>
      <c r="C18" s="15" t="s">
        <v>38</v>
      </c>
      <c r="D18" s="15"/>
      <c r="E18" s="16"/>
      <c r="F18" s="16"/>
      <c r="G18" s="15"/>
      <c r="H18" s="46"/>
      <c r="I18" s="35" t="s">
        <v>64</v>
      </c>
      <c r="J18" s="35" t="s">
        <v>64</v>
      </c>
      <c r="K18" s="35" t="s">
        <v>64</v>
      </c>
      <c r="L18" s="15"/>
    </row>
    <row r="19" spans="1:12" x14ac:dyDescent="0.2">
      <c r="A19" s="22">
        <v>235091</v>
      </c>
      <c r="B19" s="15"/>
      <c r="C19" s="15" t="s">
        <v>38</v>
      </c>
      <c r="D19" s="15"/>
      <c r="E19" s="16"/>
      <c r="F19" s="16"/>
      <c r="G19" s="15"/>
      <c r="H19" s="46"/>
      <c r="I19" s="35" t="s">
        <v>64</v>
      </c>
      <c r="J19" s="35" t="s">
        <v>64</v>
      </c>
      <c r="K19" s="35" t="s">
        <v>64</v>
      </c>
      <c r="L19" s="15"/>
    </row>
    <row r="20" spans="1:12" x14ac:dyDescent="0.2">
      <c r="A20" s="22">
        <v>235457</v>
      </c>
      <c r="B20" s="15"/>
      <c r="C20" s="15" t="s">
        <v>38</v>
      </c>
      <c r="D20" s="15"/>
      <c r="E20" s="16"/>
      <c r="F20" s="16"/>
      <c r="G20" s="15"/>
      <c r="H20" s="46"/>
      <c r="I20" s="35" t="s">
        <v>64</v>
      </c>
      <c r="J20" s="35" t="s">
        <v>64</v>
      </c>
      <c r="K20" s="35" t="s">
        <v>64</v>
      </c>
      <c r="L20" s="15"/>
    </row>
    <row r="21" spans="1:12" x14ac:dyDescent="0.2">
      <c r="A21" s="22">
        <v>235822</v>
      </c>
      <c r="B21" s="15"/>
      <c r="C21" s="15" t="s">
        <v>38</v>
      </c>
      <c r="D21" s="15"/>
      <c r="E21" s="16"/>
      <c r="F21" s="16"/>
      <c r="G21" s="15"/>
      <c r="H21" s="46"/>
      <c r="I21" s="35" t="s">
        <v>64</v>
      </c>
      <c r="J21" s="35" t="s">
        <v>64</v>
      </c>
      <c r="K21" s="35" t="s">
        <v>64</v>
      </c>
      <c r="L21" s="15"/>
    </row>
    <row r="22" spans="1:12" x14ac:dyDescent="0.2">
      <c r="A22" s="22">
        <v>236187</v>
      </c>
      <c r="B22" s="15"/>
      <c r="C22" s="15" t="s">
        <v>38</v>
      </c>
      <c r="D22" s="15"/>
      <c r="E22" s="16"/>
      <c r="F22" s="16"/>
      <c r="G22" s="15"/>
      <c r="H22" s="46"/>
      <c r="I22" s="35" t="s">
        <v>64</v>
      </c>
      <c r="J22" s="35" t="s">
        <v>64</v>
      </c>
      <c r="K22" s="35" t="s">
        <v>64</v>
      </c>
      <c r="L22" s="15"/>
    </row>
    <row r="23" spans="1:12" x14ac:dyDescent="0.2">
      <c r="A23" s="22">
        <v>236552</v>
      </c>
      <c r="B23" s="15"/>
      <c r="C23" s="15" t="s">
        <v>38</v>
      </c>
      <c r="D23" s="15"/>
      <c r="E23" s="16"/>
      <c r="F23" s="16"/>
      <c r="G23" s="15"/>
      <c r="H23" s="46"/>
      <c r="I23" s="35" t="s">
        <v>64</v>
      </c>
      <c r="J23" s="35" t="s">
        <v>64</v>
      </c>
      <c r="K23" s="35" t="s">
        <v>64</v>
      </c>
      <c r="L23" s="15"/>
    </row>
    <row r="24" spans="1:12" x14ac:dyDescent="0.2">
      <c r="A24" s="22">
        <v>236918</v>
      </c>
      <c r="B24" s="15"/>
      <c r="C24" s="15" t="s">
        <v>38</v>
      </c>
      <c r="D24" s="15"/>
      <c r="E24" s="16"/>
      <c r="F24" s="16"/>
      <c r="G24" s="15"/>
      <c r="H24" s="46"/>
      <c r="I24" s="35" t="s">
        <v>64</v>
      </c>
      <c r="J24" s="35" t="s">
        <v>64</v>
      </c>
      <c r="K24" s="35" t="s">
        <v>64</v>
      </c>
      <c r="L24" s="15"/>
    </row>
    <row r="25" spans="1:12" x14ac:dyDescent="0.2">
      <c r="A25" s="22">
        <v>237283</v>
      </c>
      <c r="B25" s="15"/>
      <c r="C25" s="15" t="s">
        <v>38</v>
      </c>
      <c r="D25" s="15"/>
      <c r="E25" s="16"/>
      <c r="F25" s="16"/>
      <c r="G25" s="15"/>
      <c r="H25" s="46"/>
      <c r="I25" s="35" t="s">
        <v>64</v>
      </c>
      <c r="J25" s="35" t="s">
        <v>64</v>
      </c>
      <c r="K25" s="35" t="s">
        <v>64</v>
      </c>
      <c r="L25" s="37"/>
    </row>
    <row r="26" spans="1:12" x14ac:dyDescent="0.2">
      <c r="A26" s="22">
        <v>237648</v>
      </c>
      <c r="B26" s="15"/>
      <c r="C26" s="15" t="s">
        <v>38</v>
      </c>
      <c r="D26" s="15"/>
      <c r="E26" s="16"/>
      <c r="F26" s="16"/>
      <c r="G26" s="15"/>
      <c r="H26" s="46"/>
      <c r="I26" s="35" t="s">
        <v>64</v>
      </c>
      <c r="J26" s="35" t="s">
        <v>64</v>
      </c>
      <c r="K26" s="35" t="s">
        <v>64</v>
      </c>
      <c r="L26" s="37"/>
    </row>
    <row r="27" spans="1:12" x14ac:dyDescent="0.2">
      <c r="A27" s="15"/>
      <c r="B27" s="15"/>
      <c r="C27" s="15" t="s">
        <v>96</v>
      </c>
      <c r="D27" s="15"/>
      <c r="E27" s="16"/>
      <c r="F27" s="16"/>
      <c r="G27" s="15"/>
      <c r="H27" s="15"/>
      <c r="I27" s="17"/>
      <c r="J27" s="23"/>
      <c r="K27" s="16">
        <v>1</v>
      </c>
      <c r="L27" s="52" t="s">
        <v>65</v>
      </c>
    </row>
    <row r="28" spans="1:12" x14ac:dyDescent="0.2">
      <c r="A28" s="15"/>
      <c r="B28" s="15"/>
      <c r="C28" s="15"/>
      <c r="D28" s="15"/>
      <c r="E28" s="16"/>
      <c r="F28" s="16"/>
      <c r="G28" s="15"/>
      <c r="H28" s="15"/>
      <c r="I28" s="17"/>
      <c r="J28" s="23"/>
      <c r="K28" s="16"/>
      <c r="L28" s="52" t="s">
        <v>66</v>
      </c>
    </row>
    <row r="29" spans="1:12" x14ac:dyDescent="0.2">
      <c r="A29" s="18"/>
      <c r="B29" s="18"/>
      <c r="C29" s="18"/>
      <c r="D29" s="18"/>
      <c r="E29" s="19"/>
      <c r="F29" s="19"/>
      <c r="G29" s="18"/>
      <c r="H29" s="18"/>
      <c r="I29" s="50"/>
      <c r="J29" s="51"/>
      <c r="K29" s="19"/>
      <c r="L29" s="53" t="s">
        <v>67</v>
      </c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5433070866141736" right="0.31496062992125984" top="0.74803149606299213" bottom="0.74803149606299213" header="0.31496062992125984" footer="0.31496062992125984"/>
  <pageSetup paperSize="9" scale="90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C15" sqref="C15"/>
    </sheetView>
  </sheetViews>
  <sheetFormatPr defaultRowHeight="21" x14ac:dyDescent="0.35"/>
  <cols>
    <col min="1" max="1" width="8.125" style="123" customWidth="1"/>
    <col min="2" max="2" width="12.375" style="123" customWidth="1"/>
    <col min="3" max="3" width="71.125" style="123" customWidth="1"/>
    <col min="4" max="4" width="13.25" style="123" customWidth="1"/>
    <col min="5" max="5" width="34.125" style="123" customWidth="1"/>
    <col min="6" max="16384" width="9" style="123"/>
  </cols>
  <sheetData>
    <row r="1" spans="1:6" ht="26.25" customHeight="1" x14ac:dyDescent="0.35">
      <c r="A1" s="120" t="s">
        <v>193</v>
      </c>
      <c r="B1" s="121"/>
      <c r="C1" s="121"/>
      <c r="D1" s="121"/>
      <c r="E1" s="122"/>
    </row>
    <row r="2" spans="1:6" ht="23.25" x14ac:dyDescent="0.35">
      <c r="A2" s="124" t="s">
        <v>209</v>
      </c>
      <c r="B2" s="125"/>
      <c r="C2" s="125"/>
      <c r="D2" s="125"/>
      <c r="E2" s="126"/>
    </row>
    <row r="3" spans="1:6" ht="23.25" x14ac:dyDescent="0.35">
      <c r="A3" s="127"/>
      <c r="B3" s="127"/>
      <c r="C3" s="127"/>
      <c r="D3" s="127"/>
      <c r="E3" s="127"/>
    </row>
    <row r="4" spans="1:6" x14ac:dyDescent="0.35">
      <c r="A4" s="128" t="s">
        <v>194</v>
      </c>
      <c r="B4" s="128" t="s">
        <v>195</v>
      </c>
      <c r="C4" s="128" t="s">
        <v>19</v>
      </c>
      <c r="D4" s="128" t="s">
        <v>196</v>
      </c>
      <c r="E4" s="128" t="s">
        <v>31</v>
      </c>
    </row>
    <row r="5" spans="1:6" x14ac:dyDescent="0.35">
      <c r="A5" s="128"/>
      <c r="B5" s="128"/>
      <c r="C5" s="128"/>
      <c r="D5" s="128"/>
      <c r="E5" s="128"/>
    </row>
    <row r="6" spans="1:6" x14ac:dyDescent="0.35">
      <c r="A6" s="129">
        <v>1</v>
      </c>
      <c r="B6" s="151" t="s">
        <v>210</v>
      </c>
      <c r="C6" s="131" t="s">
        <v>211</v>
      </c>
      <c r="D6" s="152">
        <v>2030</v>
      </c>
      <c r="E6" s="131" t="s">
        <v>212</v>
      </c>
      <c r="F6" s="153"/>
    </row>
    <row r="7" spans="1:6" x14ac:dyDescent="0.35">
      <c r="A7" s="154"/>
      <c r="B7" s="155"/>
      <c r="C7" s="155"/>
      <c r="D7" s="156"/>
      <c r="E7" s="155"/>
      <c r="F7" s="153"/>
    </row>
    <row r="8" spans="1:6" x14ac:dyDescent="0.35">
      <c r="A8" s="129">
        <v>2</v>
      </c>
      <c r="B8" s="151" t="s">
        <v>213</v>
      </c>
      <c r="C8" s="131" t="s">
        <v>214</v>
      </c>
      <c r="D8" s="152">
        <v>340</v>
      </c>
      <c r="E8" s="131" t="s">
        <v>215</v>
      </c>
      <c r="F8" s="153"/>
    </row>
    <row r="9" spans="1:6" ht="21" customHeight="1" x14ac:dyDescent="0.35">
      <c r="A9" s="138"/>
      <c r="B9" s="139"/>
      <c r="C9" s="139" t="s">
        <v>216</v>
      </c>
      <c r="D9" s="147">
        <v>400</v>
      </c>
      <c r="E9" s="139" t="s">
        <v>217</v>
      </c>
      <c r="F9" s="153"/>
    </row>
    <row r="10" spans="1:6" x14ac:dyDescent="0.35">
      <c r="A10" s="138"/>
      <c r="B10" s="139"/>
      <c r="C10" s="139" t="s">
        <v>218</v>
      </c>
      <c r="D10" s="147">
        <v>1220</v>
      </c>
      <c r="E10" s="139" t="s">
        <v>219</v>
      </c>
      <c r="F10" s="153"/>
    </row>
    <row r="11" spans="1:6" x14ac:dyDescent="0.35">
      <c r="A11" s="138"/>
      <c r="B11" s="138"/>
      <c r="C11" s="157" t="s">
        <v>220</v>
      </c>
      <c r="D11" s="158">
        <f>SUM(D8:D10)</f>
        <v>1960</v>
      </c>
      <c r="E11" s="139"/>
    </row>
    <row r="12" spans="1:6" x14ac:dyDescent="0.35">
      <c r="A12" s="133"/>
      <c r="B12" s="133"/>
      <c r="C12" s="135"/>
      <c r="D12" s="141"/>
      <c r="E12" s="135"/>
    </row>
    <row r="13" spans="1:6" x14ac:dyDescent="0.35">
      <c r="A13" s="131"/>
      <c r="B13" s="131"/>
      <c r="C13" s="131"/>
      <c r="D13" s="131"/>
      <c r="E13" s="131"/>
    </row>
    <row r="14" spans="1:6" x14ac:dyDescent="0.35">
      <c r="A14" s="139"/>
      <c r="B14" s="139"/>
      <c r="C14" s="139"/>
      <c r="D14" s="139"/>
      <c r="E14" s="139"/>
    </row>
    <row r="15" spans="1:6" x14ac:dyDescent="0.35">
      <c r="A15" s="139"/>
      <c r="B15" s="139"/>
      <c r="C15" s="139"/>
      <c r="D15" s="139"/>
      <c r="E15" s="139"/>
    </row>
    <row r="16" spans="1:6" x14ac:dyDescent="0.35">
      <c r="A16" s="139"/>
      <c r="B16" s="139"/>
      <c r="C16" s="139"/>
      <c r="D16" s="139"/>
      <c r="E16" s="139"/>
    </row>
    <row r="17" spans="1:5" x14ac:dyDescent="0.35">
      <c r="A17" s="139"/>
      <c r="B17" s="139"/>
      <c r="C17" s="139"/>
      <c r="D17" s="139"/>
      <c r="E17" s="139"/>
    </row>
    <row r="18" spans="1:5" x14ac:dyDescent="0.35">
      <c r="A18" s="139"/>
      <c r="B18" s="139"/>
      <c r="C18" s="139"/>
      <c r="D18" s="139"/>
      <c r="E18" s="139"/>
    </row>
    <row r="19" spans="1:5" x14ac:dyDescent="0.35">
      <c r="A19" s="139"/>
      <c r="B19" s="139"/>
      <c r="C19" s="139"/>
      <c r="D19" s="139"/>
      <c r="E19" s="139"/>
    </row>
    <row r="20" spans="1:5" x14ac:dyDescent="0.35">
      <c r="A20" s="139"/>
      <c r="B20" s="139"/>
      <c r="C20" s="139"/>
      <c r="D20" s="139"/>
      <c r="E20" s="139"/>
    </row>
    <row r="21" spans="1:5" x14ac:dyDescent="0.35">
      <c r="A21" s="139"/>
      <c r="B21" s="139"/>
      <c r="C21" s="139"/>
      <c r="D21" s="139"/>
      <c r="E21" s="139"/>
    </row>
    <row r="22" spans="1:5" x14ac:dyDescent="0.35">
      <c r="A22" s="139"/>
      <c r="B22" s="139"/>
      <c r="C22" s="139"/>
      <c r="D22" s="139"/>
      <c r="E22" s="139"/>
    </row>
    <row r="23" spans="1:5" x14ac:dyDescent="0.35">
      <c r="A23" s="139"/>
      <c r="B23" s="139"/>
      <c r="C23" s="139"/>
      <c r="D23" s="139"/>
      <c r="E23" s="139"/>
    </row>
    <row r="24" spans="1:5" x14ac:dyDescent="0.35">
      <c r="A24" s="139"/>
      <c r="B24" s="139"/>
      <c r="C24" s="139"/>
      <c r="D24" s="139"/>
      <c r="E24" s="139"/>
    </row>
    <row r="25" spans="1:5" x14ac:dyDescent="0.35">
      <c r="A25" s="139"/>
      <c r="B25" s="139"/>
      <c r="C25" s="139"/>
      <c r="D25" s="139"/>
      <c r="E25" s="139"/>
    </row>
    <row r="26" spans="1:5" x14ac:dyDescent="0.35">
      <c r="A26" s="139"/>
      <c r="B26" s="139"/>
      <c r="C26" s="139"/>
      <c r="D26" s="139"/>
      <c r="E26" s="139"/>
    </row>
    <row r="27" spans="1:5" x14ac:dyDescent="0.35">
      <c r="A27" s="135"/>
      <c r="B27" s="135"/>
      <c r="C27" s="135"/>
      <c r="D27" s="135"/>
      <c r="E27" s="135"/>
    </row>
  </sheetData>
  <mergeCells count="7">
    <mergeCell ref="A1:E1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K12" sqref="K12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3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73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91</v>
      </c>
      <c r="C4" s="95"/>
      <c r="D4" s="30" t="s">
        <v>44</v>
      </c>
      <c r="E4" s="25" t="s">
        <v>100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101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36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89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239544</v>
      </c>
      <c r="B11" s="39"/>
      <c r="C11" s="45" t="s">
        <v>103</v>
      </c>
      <c r="D11" s="40" t="s">
        <v>95</v>
      </c>
      <c r="E11" s="41">
        <v>737000</v>
      </c>
      <c r="F11" s="41">
        <v>737000</v>
      </c>
      <c r="G11" s="49" t="s">
        <v>64</v>
      </c>
      <c r="H11" s="42">
        <v>0.125</v>
      </c>
      <c r="I11" s="43">
        <v>92125</v>
      </c>
      <c r="J11" s="40" t="s">
        <v>36</v>
      </c>
      <c r="K11" s="43">
        <v>737000</v>
      </c>
      <c r="L11" s="39" t="s">
        <v>190</v>
      </c>
    </row>
    <row r="12" spans="1:12" x14ac:dyDescent="0.2">
      <c r="A12" s="22">
        <v>239910</v>
      </c>
      <c r="B12" s="15"/>
      <c r="C12" s="15" t="s">
        <v>38</v>
      </c>
      <c r="D12" s="15"/>
      <c r="E12" s="16"/>
      <c r="F12" s="16"/>
      <c r="G12" s="23">
        <v>1</v>
      </c>
      <c r="H12" s="46">
        <v>0.125</v>
      </c>
      <c r="I12" s="16">
        <v>92125</v>
      </c>
      <c r="J12" s="16">
        <v>92125</v>
      </c>
      <c r="K12" s="16">
        <f>(K11-J12)</f>
        <v>644875</v>
      </c>
      <c r="L12" s="15"/>
    </row>
    <row r="13" spans="1:12" x14ac:dyDescent="0.2">
      <c r="A13" s="22">
        <v>240275</v>
      </c>
      <c r="B13" s="15"/>
      <c r="C13" s="15" t="s">
        <v>38</v>
      </c>
      <c r="D13" s="15"/>
      <c r="E13" s="16"/>
      <c r="F13" s="16"/>
      <c r="G13" s="23">
        <v>2</v>
      </c>
      <c r="H13" s="46">
        <v>0.125</v>
      </c>
      <c r="I13" s="16">
        <f>I11</f>
        <v>92125</v>
      </c>
      <c r="J13" s="16">
        <f>(J12+I13)</f>
        <v>184250</v>
      </c>
      <c r="K13" s="16">
        <f>(K12-I13)</f>
        <v>552750</v>
      </c>
      <c r="L13" s="15"/>
    </row>
    <row r="14" spans="1:12" x14ac:dyDescent="0.2">
      <c r="A14" s="22">
        <v>240640</v>
      </c>
      <c r="B14" s="15"/>
      <c r="C14" s="15" t="s">
        <v>38</v>
      </c>
      <c r="D14" s="15"/>
      <c r="E14" s="16"/>
      <c r="F14" s="16"/>
      <c r="G14" s="23">
        <v>3</v>
      </c>
      <c r="H14" s="46">
        <v>0.125</v>
      </c>
      <c r="I14" s="16">
        <f t="shared" ref="I14:I16" si="0">I12</f>
        <v>92125</v>
      </c>
      <c r="J14" s="16">
        <f t="shared" ref="J14:J25" si="1">(J13+I14)</f>
        <v>276375</v>
      </c>
      <c r="K14" s="16">
        <f t="shared" ref="K14:K23" si="2">(K13-I14)</f>
        <v>460625</v>
      </c>
      <c r="L14" s="15"/>
    </row>
    <row r="15" spans="1:12" x14ac:dyDescent="0.2">
      <c r="A15" s="22">
        <v>241005</v>
      </c>
      <c r="B15" s="15"/>
      <c r="C15" s="15" t="s">
        <v>38</v>
      </c>
      <c r="D15" s="15"/>
      <c r="E15" s="16"/>
      <c r="F15" s="16"/>
      <c r="G15" s="23">
        <v>4</v>
      </c>
      <c r="H15" s="46">
        <v>0.125</v>
      </c>
      <c r="I15" s="16">
        <f t="shared" si="0"/>
        <v>92125</v>
      </c>
      <c r="J15" s="16">
        <f t="shared" si="1"/>
        <v>368500</v>
      </c>
      <c r="K15" s="16">
        <f t="shared" si="2"/>
        <v>368500</v>
      </c>
      <c r="L15" s="15"/>
    </row>
    <row r="16" spans="1:12" x14ac:dyDescent="0.2">
      <c r="A16" s="22">
        <v>241371</v>
      </c>
      <c r="B16" s="15"/>
      <c r="C16" s="15" t="s">
        <v>38</v>
      </c>
      <c r="D16" s="15"/>
      <c r="E16" s="16"/>
      <c r="F16" s="16"/>
      <c r="G16" s="23">
        <v>5</v>
      </c>
      <c r="H16" s="46">
        <v>0.125</v>
      </c>
      <c r="I16" s="16">
        <f t="shared" si="0"/>
        <v>92125</v>
      </c>
      <c r="J16" s="16">
        <f t="shared" si="1"/>
        <v>460625</v>
      </c>
      <c r="K16" s="16">
        <f t="shared" si="2"/>
        <v>276375</v>
      </c>
      <c r="L16" s="15"/>
    </row>
    <row r="17" spans="1:12" x14ac:dyDescent="0.2">
      <c r="A17" s="22">
        <v>241640</v>
      </c>
      <c r="B17" s="15"/>
      <c r="C17" s="15" t="s">
        <v>174</v>
      </c>
      <c r="D17" s="15"/>
      <c r="E17" s="16">
        <v>22000</v>
      </c>
      <c r="F17" s="16">
        <v>22000</v>
      </c>
      <c r="G17" s="23">
        <v>6</v>
      </c>
      <c r="H17" s="46">
        <v>0.125</v>
      </c>
      <c r="I17" s="16">
        <v>37296.875</v>
      </c>
      <c r="J17" s="16">
        <f t="shared" si="1"/>
        <v>497921.875</v>
      </c>
      <c r="K17" s="16">
        <v>298375</v>
      </c>
      <c r="L17" s="15"/>
    </row>
    <row r="18" spans="1:12" x14ac:dyDescent="0.2">
      <c r="A18" s="22">
        <v>241801</v>
      </c>
      <c r="B18" s="15"/>
      <c r="C18" s="15" t="s">
        <v>173</v>
      </c>
      <c r="D18" s="15"/>
      <c r="E18" s="16">
        <v>3531</v>
      </c>
      <c r="F18" s="16">
        <v>3531</v>
      </c>
      <c r="G18" s="23">
        <v>7</v>
      </c>
      <c r="H18" s="46">
        <v>0.125</v>
      </c>
      <c r="I18" s="16">
        <v>37738.25</v>
      </c>
      <c r="J18" s="16">
        <f t="shared" si="1"/>
        <v>535660.125</v>
      </c>
      <c r="K18" s="16">
        <v>301906</v>
      </c>
      <c r="L18" s="15"/>
    </row>
    <row r="19" spans="1:12" x14ac:dyDescent="0.2">
      <c r="A19" s="22">
        <v>242466</v>
      </c>
      <c r="B19" s="15"/>
      <c r="C19" s="15" t="s">
        <v>38</v>
      </c>
      <c r="D19" s="15"/>
      <c r="E19" s="16"/>
      <c r="F19" s="16"/>
      <c r="G19" s="23">
        <v>8</v>
      </c>
      <c r="H19" s="46">
        <v>0.125</v>
      </c>
      <c r="I19" s="16">
        <v>37738.25</v>
      </c>
      <c r="J19" s="16">
        <f t="shared" si="1"/>
        <v>573398.375</v>
      </c>
      <c r="K19" s="16">
        <f t="shared" si="2"/>
        <v>264167.75</v>
      </c>
      <c r="L19" s="15"/>
    </row>
    <row r="20" spans="1:12" x14ac:dyDescent="0.2">
      <c r="A20" s="22">
        <v>242682</v>
      </c>
      <c r="B20" s="15"/>
      <c r="C20" s="15" t="s">
        <v>180</v>
      </c>
      <c r="D20" s="15"/>
      <c r="E20" s="16">
        <v>1200</v>
      </c>
      <c r="F20" s="16">
        <v>1200</v>
      </c>
      <c r="G20" s="104">
        <v>9</v>
      </c>
      <c r="H20" s="46">
        <v>0.125</v>
      </c>
      <c r="I20" s="16">
        <v>33170.96875</v>
      </c>
      <c r="J20" s="16">
        <f t="shared" si="1"/>
        <v>606569.34375</v>
      </c>
      <c r="K20" s="16">
        <v>265367.75</v>
      </c>
      <c r="L20" s="15"/>
    </row>
    <row r="21" spans="1:12" x14ac:dyDescent="0.2">
      <c r="A21" s="22">
        <v>242741</v>
      </c>
      <c r="B21" s="15"/>
      <c r="C21" s="15" t="s">
        <v>176</v>
      </c>
      <c r="D21" s="15"/>
      <c r="E21" s="16">
        <v>9292.42</v>
      </c>
      <c r="F21" s="16">
        <v>9292.42</v>
      </c>
      <c r="G21" s="105"/>
      <c r="H21" s="46">
        <v>0.125</v>
      </c>
      <c r="I21" s="16">
        <v>34332.521249999998</v>
      </c>
      <c r="J21" s="16">
        <f t="shared" si="1"/>
        <v>640901.86499999999</v>
      </c>
      <c r="K21" s="16">
        <v>274660.17</v>
      </c>
      <c r="L21" s="15"/>
    </row>
    <row r="22" spans="1:12" x14ac:dyDescent="0.2">
      <c r="A22" s="22">
        <v>243047</v>
      </c>
      <c r="B22" s="15"/>
      <c r="C22" s="15" t="s">
        <v>181</v>
      </c>
      <c r="D22" s="15"/>
      <c r="E22" s="16">
        <v>5490</v>
      </c>
      <c r="F22" s="16">
        <v>21960</v>
      </c>
      <c r="G22" s="23">
        <v>10</v>
      </c>
      <c r="H22" s="46">
        <v>0.125</v>
      </c>
      <c r="I22" s="16">
        <v>37077.521249999998</v>
      </c>
      <c r="J22" s="16">
        <f t="shared" si="1"/>
        <v>677979.38624999998</v>
      </c>
      <c r="K22" s="16">
        <v>296620.17</v>
      </c>
      <c r="L22" s="15"/>
    </row>
    <row r="23" spans="1:12" x14ac:dyDescent="0.2">
      <c r="A23" s="22">
        <v>243412</v>
      </c>
      <c r="B23" s="15"/>
      <c r="C23" s="15" t="s">
        <v>38</v>
      </c>
      <c r="D23" s="15"/>
      <c r="E23" s="16"/>
      <c r="F23" s="16"/>
      <c r="G23" s="79">
        <v>11</v>
      </c>
      <c r="H23" s="46">
        <v>0.125</v>
      </c>
      <c r="I23" s="16">
        <v>37077.521249999998</v>
      </c>
      <c r="J23" s="16">
        <f t="shared" si="1"/>
        <v>715056.90749999997</v>
      </c>
      <c r="K23" s="16">
        <f t="shared" si="2"/>
        <v>259542.64874999999</v>
      </c>
      <c r="L23" s="15"/>
    </row>
    <row r="24" spans="1:12" x14ac:dyDescent="0.2">
      <c r="A24" s="22">
        <v>243628</v>
      </c>
      <c r="B24" s="15"/>
      <c r="C24" s="15" t="s">
        <v>173</v>
      </c>
      <c r="D24" s="15"/>
      <c r="E24" s="16">
        <v>3210</v>
      </c>
      <c r="F24" s="16">
        <v>3210</v>
      </c>
      <c r="G24" s="104">
        <v>12</v>
      </c>
      <c r="H24" s="46">
        <v>0.125</v>
      </c>
      <c r="I24" s="16">
        <v>37478.771249999998</v>
      </c>
      <c r="J24" s="16">
        <f>(J23+I24)</f>
        <v>752535.67874999996</v>
      </c>
      <c r="K24" s="16">
        <v>299830.17</v>
      </c>
      <c r="L24" s="15"/>
    </row>
    <row r="25" spans="1:12" x14ac:dyDescent="0.2">
      <c r="A25" s="22">
        <v>243789</v>
      </c>
      <c r="B25" s="15"/>
      <c r="C25" s="15" t="s">
        <v>182</v>
      </c>
      <c r="D25" s="15"/>
      <c r="E25" s="16">
        <v>11600</v>
      </c>
      <c r="F25" s="16">
        <v>11600</v>
      </c>
      <c r="G25" s="105"/>
      <c r="H25" s="46">
        <v>0.125</v>
      </c>
      <c r="I25" s="16">
        <v>38928.771249999998</v>
      </c>
      <c r="J25" s="16">
        <f t="shared" si="1"/>
        <v>791464.45</v>
      </c>
      <c r="K25" s="16">
        <v>311430.17</v>
      </c>
      <c r="L25" s="15"/>
    </row>
    <row r="26" spans="1:12" x14ac:dyDescent="0.2">
      <c r="A26" s="22"/>
      <c r="B26" s="15"/>
      <c r="C26" s="15"/>
      <c r="D26" s="15"/>
      <c r="E26" s="16"/>
      <c r="F26" s="16"/>
      <c r="G26" s="23"/>
      <c r="H26" s="46"/>
      <c r="I26" s="16"/>
      <c r="J26" s="16"/>
      <c r="K26" s="16"/>
      <c r="L26" s="37"/>
    </row>
    <row r="27" spans="1:12" x14ac:dyDescent="0.2">
      <c r="A27" s="22"/>
      <c r="B27" s="15"/>
      <c r="C27" s="15"/>
      <c r="D27" s="15"/>
      <c r="E27" s="16"/>
      <c r="F27" s="16"/>
      <c r="G27" s="23"/>
      <c r="H27" s="46"/>
      <c r="I27" s="16"/>
      <c r="J27" s="16"/>
      <c r="K27" s="16"/>
      <c r="L27" s="37"/>
    </row>
    <row r="28" spans="1:12" x14ac:dyDescent="0.2">
      <c r="A28" s="15"/>
      <c r="B28" s="15"/>
      <c r="C28" s="15"/>
      <c r="D28" s="15"/>
      <c r="E28" s="16"/>
      <c r="F28" s="16"/>
      <c r="G28" s="23"/>
      <c r="H28" s="15"/>
      <c r="I28" s="16"/>
      <c r="J28" s="15"/>
      <c r="K28" s="16"/>
      <c r="L28" s="52"/>
    </row>
    <row r="29" spans="1:12" x14ac:dyDescent="0.2">
      <c r="A29" s="18"/>
      <c r="B29" s="18"/>
      <c r="C29" s="18"/>
      <c r="D29" s="18"/>
      <c r="E29" s="19"/>
      <c r="F29" s="19"/>
      <c r="G29" s="18"/>
      <c r="H29" s="18"/>
      <c r="I29" s="19"/>
      <c r="J29" s="18"/>
      <c r="K29" s="19"/>
      <c r="L29" s="53"/>
    </row>
  </sheetData>
  <mergeCells count="11">
    <mergeCell ref="G20:G21"/>
    <mergeCell ref="G24:G25"/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1496062992125984" right="0.31496062992125984" top="0.52" bottom="0.5" header="0.31496062992125984" footer="0.31496062992125984"/>
  <pageSetup paperSize="9" scale="90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13" sqref="C13"/>
    </sheetView>
  </sheetViews>
  <sheetFormatPr defaultRowHeight="21" x14ac:dyDescent="0.35"/>
  <cols>
    <col min="1" max="1" width="8.125" style="123" customWidth="1"/>
    <col min="2" max="2" width="12.375" style="123" customWidth="1"/>
    <col min="3" max="3" width="71.125" style="123" customWidth="1"/>
    <col min="4" max="4" width="13.25" style="123" customWidth="1"/>
    <col min="5" max="5" width="34.125" style="123" customWidth="1"/>
    <col min="6" max="16384" width="9" style="123"/>
  </cols>
  <sheetData>
    <row r="1" spans="1:5" ht="26.25" customHeight="1" x14ac:dyDescent="0.35">
      <c r="A1" s="120" t="s">
        <v>193</v>
      </c>
      <c r="B1" s="121"/>
      <c r="C1" s="121"/>
      <c r="D1" s="121"/>
      <c r="E1" s="122"/>
    </row>
    <row r="2" spans="1:5" ht="23.25" x14ac:dyDescent="0.35">
      <c r="A2" s="124" t="s">
        <v>230</v>
      </c>
      <c r="B2" s="125"/>
      <c r="C2" s="125"/>
      <c r="D2" s="125"/>
      <c r="E2" s="126"/>
    </row>
    <row r="3" spans="1:5" ht="23.25" x14ac:dyDescent="0.35">
      <c r="A3" s="127"/>
      <c r="B3" s="127"/>
      <c r="C3" s="127"/>
      <c r="D3" s="127"/>
      <c r="E3" s="127"/>
    </row>
    <row r="4" spans="1:5" x14ac:dyDescent="0.35">
      <c r="A4" s="128" t="s">
        <v>194</v>
      </c>
      <c r="B4" s="128" t="s">
        <v>195</v>
      </c>
      <c r="C4" s="128" t="s">
        <v>19</v>
      </c>
      <c r="D4" s="128" t="s">
        <v>196</v>
      </c>
      <c r="E4" s="128" t="s">
        <v>31</v>
      </c>
    </row>
    <row r="5" spans="1:5" x14ac:dyDescent="0.35">
      <c r="A5" s="128"/>
      <c r="B5" s="128"/>
      <c r="C5" s="128"/>
      <c r="D5" s="128"/>
      <c r="E5" s="128"/>
    </row>
    <row r="6" spans="1:5" x14ac:dyDescent="0.35">
      <c r="A6" s="129">
        <v>1</v>
      </c>
      <c r="B6" s="130" t="s">
        <v>231</v>
      </c>
      <c r="C6" s="131" t="s">
        <v>232</v>
      </c>
      <c r="D6" s="137">
        <v>22000</v>
      </c>
      <c r="E6" s="131" t="s">
        <v>233</v>
      </c>
    </row>
    <row r="7" spans="1:5" x14ac:dyDescent="0.35">
      <c r="A7" s="133"/>
      <c r="B7" s="133"/>
      <c r="C7" s="135"/>
      <c r="D7" s="141"/>
      <c r="E7" s="135"/>
    </row>
    <row r="8" spans="1:5" x14ac:dyDescent="0.35">
      <c r="A8" s="129">
        <v>2</v>
      </c>
      <c r="B8" s="165" t="s">
        <v>234</v>
      </c>
      <c r="C8" s="161" t="s">
        <v>235</v>
      </c>
      <c r="D8" s="162">
        <v>3531</v>
      </c>
      <c r="E8" s="131" t="s">
        <v>236</v>
      </c>
    </row>
    <row r="9" spans="1:5" x14ac:dyDescent="0.35">
      <c r="A9" s="133"/>
      <c r="B9" s="133"/>
      <c r="C9" s="135"/>
      <c r="D9" s="141"/>
      <c r="E9" s="135"/>
    </row>
    <row r="10" spans="1:5" x14ac:dyDescent="0.35">
      <c r="A10" s="129">
        <v>3</v>
      </c>
      <c r="B10" s="129" t="s">
        <v>237</v>
      </c>
      <c r="C10" s="131" t="s">
        <v>238</v>
      </c>
      <c r="D10" s="166">
        <v>950</v>
      </c>
      <c r="E10" s="142" t="s">
        <v>239</v>
      </c>
    </row>
    <row r="11" spans="1:5" x14ac:dyDescent="0.35">
      <c r="A11" s="138"/>
      <c r="B11" s="167"/>
      <c r="C11" s="139" t="s">
        <v>240</v>
      </c>
      <c r="D11" s="147">
        <v>250</v>
      </c>
      <c r="E11" s="144"/>
    </row>
    <row r="12" spans="1:5" x14ac:dyDescent="0.35">
      <c r="A12" s="138"/>
      <c r="B12" s="138"/>
      <c r="C12" s="157" t="s">
        <v>220</v>
      </c>
      <c r="D12" s="158">
        <f>SUM(D10:D11)</f>
        <v>1200</v>
      </c>
      <c r="E12" s="144"/>
    </row>
    <row r="13" spans="1:5" x14ac:dyDescent="0.35">
      <c r="A13" s="133"/>
      <c r="B13" s="133"/>
      <c r="C13" s="168"/>
      <c r="D13" s="169"/>
      <c r="E13" s="170"/>
    </row>
    <row r="14" spans="1:5" x14ac:dyDescent="0.35">
      <c r="A14" s="129">
        <v>4</v>
      </c>
      <c r="B14" s="129" t="s">
        <v>241</v>
      </c>
      <c r="C14" s="131" t="s">
        <v>242</v>
      </c>
      <c r="D14" s="152">
        <v>891</v>
      </c>
      <c r="E14" s="131" t="s">
        <v>243</v>
      </c>
    </row>
    <row r="15" spans="1:5" x14ac:dyDescent="0.35">
      <c r="A15" s="138"/>
      <c r="B15" s="139"/>
      <c r="C15" s="139" t="s">
        <v>244</v>
      </c>
      <c r="D15" s="147">
        <v>990</v>
      </c>
      <c r="E15" s="139" t="s">
        <v>245</v>
      </c>
    </row>
    <row r="16" spans="1:5" x14ac:dyDescent="0.35">
      <c r="A16" s="138"/>
      <c r="B16" s="139"/>
      <c r="C16" s="139" t="s">
        <v>246</v>
      </c>
      <c r="D16" s="147">
        <v>2700</v>
      </c>
      <c r="E16" s="139" t="s">
        <v>247</v>
      </c>
    </row>
    <row r="17" spans="1:5" x14ac:dyDescent="0.35">
      <c r="A17" s="138"/>
      <c r="B17" s="139"/>
      <c r="C17" s="139" t="s">
        <v>248</v>
      </c>
      <c r="D17" s="147">
        <v>720</v>
      </c>
      <c r="E17" s="139" t="s">
        <v>249</v>
      </c>
    </row>
    <row r="18" spans="1:5" x14ac:dyDescent="0.35">
      <c r="A18" s="138"/>
      <c r="B18" s="139"/>
      <c r="C18" s="139" t="s">
        <v>250</v>
      </c>
      <c r="D18" s="147">
        <v>990</v>
      </c>
      <c r="E18" s="139"/>
    </row>
    <row r="19" spans="1:5" x14ac:dyDescent="0.35">
      <c r="A19" s="138"/>
      <c r="B19" s="139"/>
      <c r="C19" s="139" t="s">
        <v>251</v>
      </c>
      <c r="D19" s="147">
        <v>260</v>
      </c>
      <c r="E19" s="139"/>
    </row>
    <row r="20" spans="1:5" x14ac:dyDescent="0.35">
      <c r="A20" s="138"/>
      <c r="B20" s="139"/>
      <c r="C20" s="139" t="s">
        <v>252</v>
      </c>
      <c r="D20" s="147">
        <v>650</v>
      </c>
      <c r="E20" s="139"/>
    </row>
    <row r="21" spans="1:5" x14ac:dyDescent="0.35">
      <c r="A21" s="138"/>
      <c r="B21" s="139"/>
      <c r="C21" s="139" t="s">
        <v>253</v>
      </c>
      <c r="D21" s="147">
        <v>58.5</v>
      </c>
      <c r="E21" s="139"/>
    </row>
    <row r="22" spans="1:5" x14ac:dyDescent="0.35">
      <c r="A22" s="138"/>
      <c r="B22" s="139"/>
      <c r="C22" s="139" t="s">
        <v>254</v>
      </c>
      <c r="D22" s="147">
        <v>1425</v>
      </c>
      <c r="E22" s="139"/>
    </row>
    <row r="23" spans="1:5" x14ac:dyDescent="0.35">
      <c r="A23" s="138"/>
      <c r="B23" s="139"/>
      <c r="C23" s="148" t="s">
        <v>220</v>
      </c>
      <c r="D23" s="149">
        <v>9292.42</v>
      </c>
      <c r="E23" s="139"/>
    </row>
    <row r="24" spans="1:5" x14ac:dyDescent="0.35">
      <c r="A24" s="133"/>
      <c r="B24" s="134"/>
      <c r="C24" s="171"/>
      <c r="D24" s="169"/>
      <c r="E24" s="135"/>
    </row>
    <row r="25" spans="1:5" x14ac:dyDescent="0.35">
      <c r="A25" s="172">
        <v>5</v>
      </c>
      <c r="B25" s="173" t="s">
        <v>255</v>
      </c>
      <c r="C25" s="174" t="s">
        <v>256</v>
      </c>
      <c r="D25" s="175">
        <v>21960</v>
      </c>
      <c r="E25" s="155" t="s">
        <v>227</v>
      </c>
    </row>
    <row r="26" spans="1:5" x14ac:dyDescent="0.35">
      <c r="A26" s="154"/>
      <c r="B26" s="154"/>
      <c r="C26" s="176"/>
      <c r="D26" s="175"/>
      <c r="E26" s="155"/>
    </row>
    <row r="27" spans="1:5" x14ac:dyDescent="0.35">
      <c r="A27" s="129">
        <v>6</v>
      </c>
      <c r="B27" s="129" t="s">
        <v>257</v>
      </c>
      <c r="C27" s="159" t="s">
        <v>173</v>
      </c>
      <c r="D27" s="152">
        <v>3210</v>
      </c>
      <c r="E27" s="131" t="s">
        <v>236</v>
      </c>
    </row>
    <row r="28" spans="1:5" x14ac:dyDescent="0.35">
      <c r="A28" s="135"/>
      <c r="B28" s="133"/>
      <c r="C28" s="171"/>
      <c r="D28" s="169"/>
      <c r="E28" s="135"/>
    </row>
    <row r="29" spans="1:5" x14ac:dyDescent="0.35">
      <c r="A29" s="129">
        <v>7</v>
      </c>
      <c r="B29" s="130" t="s">
        <v>258</v>
      </c>
      <c r="C29" s="159" t="s">
        <v>259</v>
      </c>
      <c r="D29" s="152">
        <v>6500</v>
      </c>
      <c r="E29" s="131" t="s">
        <v>260</v>
      </c>
    </row>
    <row r="30" spans="1:5" x14ac:dyDescent="0.35">
      <c r="A30" s="139"/>
      <c r="B30" s="139"/>
      <c r="C30" s="146" t="s">
        <v>261</v>
      </c>
      <c r="D30" s="147">
        <v>3000</v>
      </c>
      <c r="E30" s="139"/>
    </row>
    <row r="31" spans="1:5" x14ac:dyDescent="0.35">
      <c r="A31" s="139"/>
      <c r="B31" s="139"/>
      <c r="C31" s="146" t="s">
        <v>262</v>
      </c>
      <c r="D31" s="147">
        <v>2100</v>
      </c>
      <c r="E31" s="139"/>
    </row>
    <row r="32" spans="1:5" x14ac:dyDescent="0.35">
      <c r="A32" s="139"/>
      <c r="B32" s="139"/>
      <c r="C32" s="157" t="s">
        <v>220</v>
      </c>
      <c r="D32" s="147">
        <f>SUM(D29:D31)</f>
        <v>11600</v>
      </c>
      <c r="E32" s="139"/>
    </row>
    <row r="33" spans="1:5" x14ac:dyDescent="0.35">
      <c r="A33" s="135"/>
      <c r="B33" s="135"/>
      <c r="C33" s="171"/>
      <c r="D33" s="169"/>
      <c r="E33" s="135"/>
    </row>
  </sheetData>
  <mergeCells count="7">
    <mergeCell ref="A1:E1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K22" sqref="K22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1.62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2.125" style="7" customWidth="1"/>
    <col min="12" max="12" width="18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74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91</v>
      </c>
      <c r="C4" s="95"/>
      <c r="D4" s="30" t="s">
        <v>44</v>
      </c>
      <c r="E4" s="25" t="s">
        <v>104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54" t="s">
        <v>105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36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106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241066</v>
      </c>
      <c r="B11" s="39"/>
      <c r="C11" s="45" t="s">
        <v>107</v>
      </c>
      <c r="D11" s="40" t="s">
        <v>95</v>
      </c>
      <c r="E11" s="41">
        <v>3500000</v>
      </c>
      <c r="F11" s="41">
        <v>3500000</v>
      </c>
      <c r="G11" s="49" t="s">
        <v>64</v>
      </c>
      <c r="H11" s="42">
        <v>0.125</v>
      </c>
      <c r="I11" s="43">
        <v>437500</v>
      </c>
      <c r="J11" s="40" t="s">
        <v>36</v>
      </c>
      <c r="K11" s="43">
        <v>3500000</v>
      </c>
      <c r="L11" s="39" t="s">
        <v>190</v>
      </c>
    </row>
    <row r="12" spans="1:12" x14ac:dyDescent="0.2">
      <c r="A12" s="22">
        <v>241467</v>
      </c>
      <c r="B12" s="15"/>
      <c r="C12" s="15" t="s">
        <v>175</v>
      </c>
      <c r="D12" s="15"/>
      <c r="E12" s="16">
        <v>5300</v>
      </c>
      <c r="F12" s="16">
        <v>26500</v>
      </c>
      <c r="G12" s="23">
        <v>1</v>
      </c>
      <c r="H12" s="46">
        <v>0.125</v>
      </c>
      <c r="I12" s="16">
        <v>440812.5</v>
      </c>
      <c r="J12" s="16">
        <v>440812.5</v>
      </c>
      <c r="K12" s="16">
        <f>(K11-I12)</f>
        <v>3059187.5</v>
      </c>
      <c r="L12" s="15"/>
    </row>
    <row r="13" spans="1:12" x14ac:dyDescent="0.2">
      <c r="A13" s="22">
        <v>241832</v>
      </c>
      <c r="B13" s="15"/>
      <c r="C13" s="15" t="s">
        <v>38</v>
      </c>
      <c r="D13" s="15"/>
      <c r="E13" s="16"/>
      <c r="F13" s="16"/>
      <c r="G13" s="23">
        <v>2</v>
      </c>
      <c r="H13" s="46">
        <v>0.125</v>
      </c>
      <c r="I13" s="16">
        <v>440812.5</v>
      </c>
      <c r="J13" s="16">
        <f>(J12+I13)</f>
        <v>881625</v>
      </c>
      <c r="K13" s="16">
        <f>(K12-I13)</f>
        <v>2618375</v>
      </c>
      <c r="L13" s="15"/>
    </row>
    <row r="14" spans="1:12" x14ac:dyDescent="0.2">
      <c r="A14" s="22">
        <v>242209</v>
      </c>
      <c r="B14" s="15"/>
      <c r="C14" s="15" t="s">
        <v>176</v>
      </c>
      <c r="D14" s="15"/>
      <c r="E14" s="16">
        <v>31415.200000000001</v>
      </c>
      <c r="F14" s="16">
        <v>31415.200000000001</v>
      </c>
      <c r="G14" s="23">
        <v>3</v>
      </c>
      <c r="H14" s="46">
        <v>0.125</v>
      </c>
      <c r="I14" s="16">
        <v>389637.83750000002</v>
      </c>
      <c r="J14" s="16">
        <f t="shared" ref="J14:J22" si="0">(J13+I14)</f>
        <v>1271262.8374999999</v>
      </c>
      <c r="K14" s="16">
        <v>3117102.7</v>
      </c>
      <c r="L14" s="15"/>
    </row>
    <row r="15" spans="1:12" x14ac:dyDescent="0.2">
      <c r="A15" s="102">
        <v>242569</v>
      </c>
      <c r="B15" s="15"/>
      <c r="C15" s="15" t="s">
        <v>175</v>
      </c>
      <c r="D15" s="15"/>
      <c r="E15" s="16">
        <v>6150</v>
      </c>
      <c r="F15" s="16">
        <v>30750</v>
      </c>
      <c r="G15" s="104">
        <v>4</v>
      </c>
      <c r="H15" s="46">
        <v>0.125</v>
      </c>
      <c r="I15" s="16">
        <v>393481.58750000002</v>
      </c>
      <c r="J15" s="16">
        <f t="shared" si="0"/>
        <v>1664744.4249999998</v>
      </c>
      <c r="K15" s="16">
        <v>3147852.7</v>
      </c>
      <c r="L15" s="15"/>
    </row>
    <row r="16" spans="1:12" x14ac:dyDescent="0.2">
      <c r="A16" s="103"/>
      <c r="B16" s="13"/>
      <c r="C16" s="13" t="s">
        <v>177</v>
      </c>
      <c r="D16" s="13"/>
      <c r="E16" s="16">
        <v>22973.83</v>
      </c>
      <c r="F16" s="16">
        <v>22973.83</v>
      </c>
      <c r="G16" s="105"/>
      <c r="H16" s="46">
        <v>0.125</v>
      </c>
      <c r="I16" s="16">
        <v>396353.31624999997</v>
      </c>
      <c r="J16" s="16">
        <f>(J15+I16)</f>
        <v>2061097.7412499997</v>
      </c>
      <c r="K16" s="16">
        <v>3170826.53</v>
      </c>
      <c r="L16" s="15"/>
    </row>
    <row r="17" spans="1:12" x14ac:dyDescent="0.2">
      <c r="A17" s="22">
        <v>242935</v>
      </c>
      <c r="B17" s="15"/>
      <c r="C17" s="15" t="s">
        <v>38</v>
      </c>
      <c r="D17" s="15"/>
      <c r="E17" s="16"/>
      <c r="F17" s="16"/>
      <c r="G17" s="23">
        <v>5</v>
      </c>
      <c r="H17" s="46">
        <v>0.125</v>
      </c>
      <c r="I17" s="16">
        <v>396353.32</v>
      </c>
      <c r="J17" s="16">
        <f t="shared" si="0"/>
        <v>2457451.0612499998</v>
      </c>
      <c r="K17" s="16">
        <f t="shared" ref="K17" si="1">(K16-I17)</f>
        <v>2774473.21</v>
      </c>
      <c r="L17" s="15"/>
    </row>
    <row r="18" spans="1:12" x14ac:dyDescent="0.2">
      <c r="A18" s="102">
        <v>243424</v>
      </c>
      <c r="B18" s="15"/>
      <c r="C18" s="15" t="s">
        <v>176</v>
      </c>
      <c r="D18" s="15"/>
      <c r="E18" s="16">
        <v>28555</v>
      </c>
      <c r="F18" s="16">
        <v>28555</v>
      </c>
      <c r="G18" s="104">
        <v>6</v>
      </c>
      <c r="H18" s="46">
        <v>0.125</v>
      </c>
      <c r="I18" s="16">
        <v>350378.52625</v>
      </c>
      <c r="J18" s="16">
        <f t="shared" si="0"/>
        <v>2807829.5874999999</v>
      </c>
      <c r="K18" s="16">
        <v>2803028.21</v>
      </c>
      <c r="L18" s="15"/>
    </row>
    <row r="19" spans="1:12" x14ac:dyDescent="0.2">
      <c r="A19" s="103"/>
      <c r="B19" s="15"/>
      <c r="C19" s="15" t="s">
        <v>178</v>
      </c>
      <c r="D19" s="15"/>
      <c r="E19" s="16">
        <v>14094</v>
      </c>
      <c r="F19" s="16">
        <v>14094</v>
      </c>
      <c r="G19" s="105"/>
      <c r="H19" s="46">
        <v>0.125</v>
      </c>
      <c r="I19" s="16">
        <v>352140.27625</v>
      </c>
      <c r="J19" s="16">
        <f t="shared" si="0"/>
        <v>3159969.86375</v>
      </c>
      <c r="K19" s="16">
        <v>2817122.21</v>
      </c>
      <c r="L19" s="15"/>
    </row>
    <row r="20" spans="1:12" x14ac:dyDescent="0.2">
      <c r="A20" s="102">
        <v>243634</v>
      </c>
      <c r="B20" s="15"/>
      <c r="C20" s="15" t="s">
        <v>176</v>
      </c>
      <c r="D20" s="15"/>
      <c r="E20" s="16">
        <v>21980</v>
      </c>
      <c r="F20" s="16">
        <v>21980</v>
      </c>
      <c r="G20" s="104">
        <v>7</v>
      </c>
      <c r="H20" s="46">
        <v>0.125</v>
      </c>
      <c r="I20" s="16">
        <v>354887.77625</v>
      </c>
      <c r="J20" s="16">
        <f t="shared" si="0"/>
        <v>3514857.64</v>
      </c>
      <c r="K20" s="16">
        <v>2839102.21</v>
      </c>
      <c r="L20" s="15"/>
    </row>
    <row r="21" spans="1:12" x14ac:dyDescent="0.2">
      <c r="A21" s="103"/>
      <c r="B21" s="15"/>
      <c r="C21" s="15" t="s">
        <v>179</v>
      </c>
      <c r="D21" s="15"/>
      <c r="E21" s="16">
        <v>787</v>
      </c>
      <c r="F21" s="16">
        <v>787</v>
      </c>
      <c r="G21" s="114"/>
      <c r="H21" s="46">
        <v>0.125</v>
      </c>
      <c r="I21" s="16">
        <v>354986.15125</v>
      </c>
      <c r="J21" s="16">
        <f t="shared" si="0"/>
        <v>3869843.7912500002</v>
      </c>
      <c r="K21" s="16">
        <v>2839889.21</v>
      </c>
      <c r="L21" s="15"/>
    </row>
    <row r="22" spans="1:12" x14ac:dyDescent="0.2">
      <c r="A22" s="22">
        <v>243825</v>
      </c>
      <c r="B22" s="15"/>
      <c r="C22" s="15" t="s">
        <v>175</v>
      </c>
      <c r="D22" s="15"/>
      <c r="E22" s="16">
        <v>7550</v>
      </c>
      <c r="F22" s="16">
        <v>37750</v>
      </c>
      <c r="G22" s="105"/>
      <c r="H22" s="46">
        <v>0.125</v>
      </c>
      <c r="I22" s="16">
        <v>359704.90125</v>
      </c>
      <c r="J22" s="16">
        <f t="shared" si="0"/>
        <v>4229548.6924999999</v>
      </c>
      <c r="K22" s="16">
        <v>2877639.21</v>
      </c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35"/>
      <c r="L25" s="37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35"/>
      <c r="L26" s="37"/>
    </row>
    <row r="27" spans="1:12" x14ac:dyDescent="0.2">
      <c r="A27" s="15"/>
      <c r="B27" s="15"/>
      <c r="C27" s="15"/>
      <c r="D27" s="15"/>
      <c r="E27" s="16"/>
      <c r="F27" s="16"/>
      <c r="G27" s="15"/>
      <c r="H27" s="15"/>
      <c r="I27" s="16"/>
      <c r="J27" s="15"/>
      <c r="K27" s="16"/>
      <c r="L27" s="52"/>
    </row>
    <row r="28" spans="1:12" x14ac:dyDescent="0.2">
      <c r="A28" s="15"/>
      <c r="B28" s="15"/>
      <c r="C28" s="15"/>
      <c r="D28" s="15"/>
      <c r="E28" s="16"/>
      <c r="F28" s="16"/>
      <c r="G28" s="15"/>
      <c r="H28" s="15"/>
      <c r="I28" s="16"/>
      <c r="J28" s="15"/>
      <c r="K28" s="16"/>
      <c r="L28" s="52"/>
    </row>
    <row r="29" spans="1:12" x14ac:dyDescent="0.2">
      <c r="A29" s="18"/>
      <c r="B29" s="18"/>
      <c r="C29" s="18"/>
      <c r="D29" s="18"/>
      <c r="E29" s="19"/>
      <c r="F29" s="19"/>
      <c r="G29" s="18"/>
      <c r="H29" s="18"/>
      <c r="I29" s="19"/>
      <c r="J29" s="18"/>
      <c r="K29" s="19"/>
      <c r="L29" s="53"/>
    </row>
  </sheetData>
  <mergeCells count="15">
    <mergeCell ref="A1:L1"/>
    <mergeCell ref="B3:C3"/>
    <mergeCell ref="B4:C4"/>
    <mergeCell ref="A9:A10"/>
    <mergeCell ref="B9:B10"/>
    <mergeCell ref="C9:C10"/>
    <mergeCell ref="F9:F10"/>
    <mergeCell ref="K9:K10"/>
    <mergeCell ref="L9:L10"/>
    <mergeCell ref="A15:A16"/>
    <mergeCell ref="G15:G16"/>
    <mergeCell ref="G18:G19"/>
    <mergeCell ref="A20:A21"/>
    <mergeCell ref="G20:G22"/>
    <mergeCell ref="A18:A19"/>
  </mergeCells>
  <printOptions horizontalCentered="1"/>
  <pageMargins left="0.31496062992125984" right="0.19685039370078741" top="0.52" bottom="0.52" header="0.31496062992125984" footer="0.31496062992125984"/>
  <pageSetup paperSize="9" scale="90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>
      <selection activeCell="C11" sqref="C11"/>
    </sheetView>
  </sheetViews>
  <sheetFormatPr defaultRowHeight="21" x14ac:dyDescent="0.35"/>
  <cols>
    <col min="1" max="1" width="8.125" style="123" customWidth="1"/>
    <col min="2" max="2" width="12.375" style="123" customWidth="1"/>
    <col min="3" max="3" width="71.125" style="123" customWidth="1"/>
    <col min="4" max="4" width="13.25" style="123" customWidth="1"/>
    <col min="5" max="5" width="34.125" style="123" customWidth="1"/>
    <col min="6" max="16384" width="9" style="123"/>
  </cols>
  <sheetData>
    <row r="1" spans="1:5" ht="26.25" customHeight="1" x14ac:dyDescent="0.35">
      <c r="A1" s="120" t="s">
        <v>193</v>
      </c>
      <c r="B1" s="121"/>
      <c r="C1" s="121"/>
      <c r="D1" s="121"/>
      <c r="E1" s="122"/>
    </row>
    <row r="2" spans="1:5" ht="21" customHeight="1" x14ac:dyDescent="0.35">
      <c r="A2" s="124" t="s">
        <v>263</v>
      </c>
      <c r="B2" s="125"/>
      <c r="C2" s="125"/>
      <c r="D2" s="125"/>
      <c r="E2" s="126"/>
    </row>
    <row r="3" spans="1:5" ht="9.9499999999999993" customHeight="1" x14ac:dyDescent="0.35">
      <c r="A3" s="127"/>
      <c r="B3" s="127"/>
      <c r="C3" s="127"/>
      <c r="D3" s="127"/>
      <c r="E3" s="127"/>
    </row>
    <row r="4" spans="1:5" ht="23.25" customHeight="1" x14ac:dyDescent="0.35">
      <c r="A4" s="128" t="s">
        <v>194</v>
      </c>
      <c r="B4" s="128" t="s">
        <v>195</v>
      </c>
      <c r="C4" s="128" t="s">
        <v>19</v>
      </c>
      <c r="D4" s="128" t="s">
        <v>196</v>
      </c>
      <c r="E4" s="128" t="s">
        <v>31</v>
      </c>
    </row>
    <row r="5" spans="1:5" x14ac:dyDescent="0.35">
      <c r="A5" s="128"/>
      <c r="B5" s="128"/>
      <c r="C5" s="128"/>
      <c r="D5" s="128"/>
      <c r="E5" s="128"/>
    </row>
    <row r="6" spans="1:5" x14ac:dyDescent="0.35">
      <c r="A6" s="129">
        <v>1</v>
      </c>
      <c r="B6" s="130" t="s">
        <v>264</v>
      </c>
      <c r="C6" s="131" t="s">
        <v>265</v>
      </c>
      <c r="D6" s="132">
        <v>26500</v>
      </c>
      <c r="E6" s="131" t="s">
        <v>233</v>
      </c>
    </row>
    <row r="7" spans="1:5" x14ac:dyDescent="0.35">
      <c r="A7" s="138"/>
      <c r="B7" s="143"/>
      <c r="C7" s="139"/>
      <c r="D7" s="150"/>
      <c r="E7" s="139" t="s">
        <v>266</v>
      </c>
    </row>
    <row r="8" spans="1:5" x14ac:dyDescent="0.35">
      <c r="A8" s="138"/>
      <c r="B8" s="143"/>
      <c r="C8" s="139"/>
      <c r="D8" s="150"/>
      <c r="E8" s="139" t="s">
        <v>247</v>
      </c>
    </row>
    <row r="9" spans="1:5" x14ac:dyDescent="0.35">
      <c r="A9" s="138"/>
      <c r="B9" s="143"/>
      <c r="C9" s="139"/>
      <c r="D9" s="150"/>
      <c r="E9" s="144" t="s">
        <v>267</v>
      </c>
    </row>
    <row r="10" spans="1:5" ht="9.9499999999999993" customHeight="1" x14ac:dyDescent="0.35">
      <c r="A10" s="177"/>
      <c r="B10" s="178"/>
      <c r="C10" s="179"/>
      <c r="D10" s="180"/>
      <c r="E10" s="181"/>
    </row>
    <row r="11" spans="1:5" x14ac:dyDescent="0.35">
      <c r="A11" s="129">
        <v>2</v>
      </c>
      <c r="B11" s="130" t="s">
        <v>268</v>
      </c>
      <c r="C11" s="131" t="s">
        <v>269</v>
      </c>
      <c r="D11" s="182">
        <v>1534</v>
      </c>
      <c r="E11" s="131" t="s">
        <v>270</v>
      </c>
    </row>
    <row r="12" spans="1:5" x14ac:dyDescent="0.35">
      <c r="A12" s="138"/>
      <c r="B12" s="138"/>
      <c r="C12" s="139" t="s">
        <v>271</v>
      </c>
      <c r="D12" s="140">
        <v>236</v>
      </c>
      <c r="E12" s="139" t="s">
        <v>272</v>
      </c>
    </row>
    <row r="13" spans="1:5" x14ac:dyDescent="0.35">
      <c r="A13" s="138"/>
      <c r="B13" s="138"/>
      <c r="C13" s="139" t="s">
        <v>273</v>
      </c>
      <c r="D13" s="140">
        <v>6020</v>
      </c>
      <c r="E13" s="139" t="s">
        <v>274</v>
      </c>
    </row>
    <row r="14" spans="1:5" x14ac:dyDescent="0.35">
      <c r="A14" s="138"/>
      <c r="B14" s="138"/>
      <c r="C14" s="139" t="s">
        <v>275</v>
      </c>
      <c r="D14" s="140">
        <v>17100</v>
      </c>
      <c r="E14" s="139" t="s">
        <v>276</v>
      </c>
    </row>
    <row r="15" spans="1:5" x14ac:dyDescent="0.35">
      <c r="A15" s="138"/>
      <c r="B15" s="138"/>
      <c r="C15" s="139" t="s">
        <v>277</v>
      </c>
      <c r="D15" s="140">
        <v>2130</v>
      </c>
      <c r="E15" s="139"/>
    </row>
    <row r="16" spans="1:5" x14ac:dyDescent="0.35">
      <c r="A16" s="138"/>
      <c r="B16" s="138"/>
      <c r="C16" s="139" t="s">
        <v>278</v>
      </c>
      <c r="D16" s="140">
        <v>1170</v>
      </c>
      <c r="E16" s="144" t="s">
        <v>267</v>
      </c>
    </row>
    <row r="17" spans="1:5" x14ac:dyDescent="0.35">
      <c r="A17" s="138"/>
      <c r="B17" s="138"/>
      <c r="C17" s="139" t="s">
        <v>279</v>
      </c>
      <c r="D17" s="140">
        <v>900</v>
      </c>
      <c r="E17" s="144"/>
    </row>
    <row r="18" spans="1:5" x14ac:dyDescent="0.35">
      <c r="A18" s="138"/>
      <c r="B18" s="138"/>
      <c r="C18" s="139" t="s">
        <v>280</v>
      </c>
      <c r="D18" s="140">
        <v>190</v>
      </c>
      <c r="E18" s="144"/>
    </row>
    <row r="19" spans="1:5" x14ac:dyDescent="0.35">
      <c r="A19" s="138"/>
      <c r="B19" s="138"/>
      <c r="C19" s="139" t="s">
        <v>281</v>
      </c>
      <c r="D19" s="140">
        <v>80</v>
      </c>
      <c r="E19" s="144"/>
    </row>
    <row r="20" spans="1:5" x14ac:dyDescent="0.35">
      <c r="A20" s="138"/>
      <c r="B20" s="138"/>
      <c r="C20" s="183" t="s">
        <v>282</v>
      </c>
      <c r="D20" s="184">
        <v>29360</v>
      </c>
      <c r="E20" s="144"/>
    </row>
    <row r="21" spans="1:5" x14ac:dyDescent="0.35">
      <c r="A21" s="138"/>
      <c r="B21" s="138"/>
      <c r="C21" s="185" t="s">
        <v>283</v>
      </c>
      <c r="D21" s="147">
        <v>2055.1999999999998</v>
      </c>
      <c r="E21" s="144"/>
    </row>
    <row r="22" spans="1:5" x14ac:dyDescent="0.35">
      <c r="A22" s="138"/>
      <c r="B22" s="138"/>
      <c r="C22" s="186" t="s">
        <v>220</v>
      </c>
      <c r="D22" s="149">
        <v>31415.200000000001</v>
      </c>
      <c r="E22" s="144"/>
    </row>
    <row r="23" spans="1:5" ht="9.9499999999999993" customHeight="1" x14ac:dyDescent="0.35">
      <c r="A23" s="133"/>
      <c r="B23" s="133"/>
      <c r="C23" s="135"/>
      <c r="D23" s="136"/>
      <c r="E23" s="170"/>
    </row>
    <row r="24" spans="1:5" x14ac:dyDescent="0.35">
      <c r="A24" s="129">
        <v>3</v>
      </c>
      <c r="B24" s="130" t="s">
        <v>284</v>
      </c>
      <c r="C24" s="131" t="s">
        <v>265</v>
      </c>
      <c r="D24" s="132">
        <v>30750</v>
      </c>
      <c r="E24" s="187" t="s">
        <v>285</v>
      </c>
    </row>
    <row r="25" spans="1:5" x14ac:dyDescent="0.35">
      <c r="A25" s="188"/>
      <c r="B25" s="189"/>
      <c r="C25" s="190"/>
      <c r="D25" s="191"/>
      <c r="E25" s="144" t="s">
        <v>267</v>
      </c>
    </row>
    <row r="26" spans="1:5" ht="9.9499999999999993" customHeight="1" x14ac:dyDescent="0.35">
      <c r="A26" s="154"/>
      <c r="B26" s="154"/>
      <c r="C26" s="155"/>
      <c r="D26" s="192"/>
      <c r="E26" s="155"/>
    </row>
    <row r="27" spans="1:5" x14ac:dyDescent="0.35">
      <c r="A27" s="129">
        <v>4</v>
      </c>
      <c r="B27" s="130" t="s">
        <v>284</v>
      </c>
      <c r="C27" s="131" t="s">
        <v>286</v>
      </c>
      <c r="D27" s="132">
        <v>22973.83</v>
      </c>
      <c r="E27" s="131" t="s">
        <v>270</v>
      </c>
    </row>
    <row r="28" spans="1:5" x14ac:dyDescent="0.35">
      <c r="A28" s="138"/>
      <c r="B28" s="138"/>
      <c r="C28" s="139" t="s">
        <v>287</v>
      </c>
      <c r="D28" s="150"/>
      <c r="E28" s="144"/>
    </row>
    <row r="29" spans="1:5" x14ac:dyDescent="0.35">
      <c r="A29" s="138"/>
      <c r="B29" s="138"/>
      <c r="C29" s="139" t="s">
        <v>288</v>
      </c>
      <c r="D29" s="150"/>
      <c r="E29" s="144" t="s">
        <v>267</v>
      </c>
    </row>
    <row r="30" spans="1:5" x14ac:dyDescent="0.35">
      <c r="A30" s="133"/>
      <c r="B30" s="133"/>
      <c r="C30" s="171"/>
      <c r="D30" s="193"/>
      <c r="E30" s="170"/>
    </row>
    <row r="31" spans="1:5" x14ac:dyDescent="0.35">
      <c r="A31" s="194"/>
      <c r="B31" s="194"/>
      <c r="C31" s="195"/>
      <c r="D31" s="196"/>
      <c r="E31" s="197"/>
    </row>
    <row r="32" spans="1:5" x14ac:dyDescent="0.35">
      <c r="A32" s="128" t="s">
        <v>194</v>
      </c>
      <c r="B32" s="128" t="s">
        <v>195</v>
      </c>
      <c r="C32" s="128" t="s">
        <v>19</v>
      </c>
      <c r="D32" s="128" t="s">
        <v>196</v>
      </c>
      <c r="E32" s="128" t="s">
        <v>31</v>
      </c>
    </row>
    <row r="33" spans="1:5" x14ac:dyDescent="0.35">
      <c r="A33" s="128"/>
      <c r="B33" s="128"/>
      <c r="C33" s="128"/>
      <c r="D33" s="128"/>
      <c r="E33" s="128"/>
    </row>
    <row r="34" spans="1:5" x14ac:dyDescent="0.35">
      <c r="A34" s="129">
        <v>5</v>
      </c>
      <c r="B34" s="130" t="s">
        <v>289</v>
      </c>
      <c r="C34" s="159" t="s">
        <v>290</v>
      </c>
      <c r="D34" s="152">
        <v>1298</v>
      </c>
      <c r="E34" s="131" t="s">
        <v>270</v>
      </c>
    </row>
    <row r="35" spans="1:5" x14ac:dyDescent="0.35">
      <c r="A35" s="138"/>
      <c r="B35" s="138"/>
      <c r="C35" s="146" t="s">
        <v>291</v>
      </c>
      <c r="D35" s="147">
        <v>354</v>
      </c>
      <c r="E35" s="144"/>
    </row>
    <row r="36" spans="1:5" ht="23.25" x14ac:dyDescent="0.35">
      <c r="A36" s="145"/>
      <c r="B36" s="145"/>
      <c r="C36" s="146" t="s">
        <v>292</v>
      </c>
      <c r="D36" s="147">
        <v>354</v>
      </c>
      <c r="E36" s="144" t="s">
        <v>267</v>
      </c>
    </row>
    <row r="37" spans="1:5" ht="23.25" x14ac:dyDescent="0.35">
      <c r="A37" s="145"/>
      <c r="B37" s="145"/>
      <c r="C37" s="146" t="s">
        <v>293</v>
      </c>
      <c r="D37" s="147">
        <v>118</v>
      </c>
      <c r="E37" s="144"/>
    </row>
    <row r="38" spans="1:5" x14ac:dyDescent="0.35">
      <c r="A38" s="139"/>
      <c r="B38" s="139"/>
      <c r="C38" s="146" t="s">
        <v>294</v>
      </c>
      <c r="D38" s="147">
        <v>7300</v>
      </c>
      <c r="E38" s="139"/>
    </row>
    <row r="39" spans="1:5" x14ac:dyDescent="0.35">
      <c r="A39" s="139"/>
      <c r="B39" s="139"/>
      <c r="C39" s="146" t="s">
        <v>295</v>
      </c>
      <c r="D39" s="147">
        <v>1460</v>
      </c>
      <c r="E39" s="139"/>
    </row>
    <row r="40" spans="1:5" x14ac:dyDescent="0.35">
      <c r="A40" s="139"/>
      <c r="B40" s="139"/>
      <c r="C40" s="146" t="s">
        <v>296</v>
      </c>
      <c r="D40" s="147">
        <v>1001</v>
      </c>
      <c r="E40" s="139"/>
    </row>
    <row r="41" spans="1:5" x14ac:dyDescent="0.35">
      <c r="A41" s="139"/>
      <c r="B41" s="139"/>
      <c r="C41" s="146" t="s">
        <v>297</v>
      </c>
      <c r="D41" s="147">
        <v>590</v>
      </c>
      <c r="E41" s="139"/>
    </row>
    <row r="42" spans="1:5" x14ac:dyDescent="0.35">
      <c r="A42" s="139"/>
      <c r="B42" s="139"/>
      <c r="C42" s="146" t="s">
        <v>298</v>
      </c>
      <c r="D42" s="147">
        <v>118</v>
      </c>
      <c r="E42" s="139"/>
    </row>
    <row r="43" spans="1:5" x14ac:dyDescent="0.35">
      <c r="A43" s="139"/>
      <c r="B43" s="139"/>
      <c r="C43" s="146" t="s">
        <v>299</v>
      </c>
      <c r="D43" s="147">
        <v>14094</v>
      </c>
      <c r="E43" s="139"/>
    </row>
    <row r="44" spans="1:5" x14ac:dyDescent="0.35">
      <c r="A44" s="139"/>
      <c r="B44" s="139"/>
      <c r="C44" s="146" t="s">
        <v>300</v>
      </c>
      <c r="D44" s="147">
        <v>1868</v>
      </c>
      <c r="E44" s="139"/>
    </row>
    <row r="45" spans="1:5" x14ac:dyDescent="0.35">
      <c r="A45" s="139"/>
      <c r="B45" s="139"/>
      <c r="C45" s="148" t="s">
        <v>220</v>
      </c>
      <c r="D45" s="149">
        <v>28555</v>
      </c>
      <c r="E45" s="139"/>
    </row>
    <row r="46" spans="1:5" ht="9.9499999999999993" customHeight="1" x14ac:dyDescent="0.35">
      <c r="A46" s="135"/>
      <c r="B46" s="135"/>
      <c r="C46" s="135"/>
      <c r="D46" s="135"/>
      <c r="E46" s="135"/>
    </row>
    <row r="47" spans="1:5" x14ac:dyDescent="0.35">
      <c r="A47" s="129">
        <v>6</v>
      </c>
      <c r="B47" s="130" t="s">
        <v>289</v>
      </c>
      <c r="C47" s="159" t="s">
        <v>301</v>
      </c>
      <c r="D47" s="198"/>
      <c r="E47" s="131" t="s">
        <v>270</v>
      </c>
    </row>
    <row r="48" spans="1:5" x14ac:dyDescent="0.35">
      <c r="A48" s="138"/>
      <c r="B48" s="138"/>
      <c r="C48" s="174" t="s">
        <v>302</v>
      </c>
      <c r="D48" s="199">
        <v>10305</v>
      </c>
      <c r="E48" s="144"/>
    </row>
    <row r="49" spans="1:5" x14ac:dyDescent="0.35">
      <c r="A49" s="138"/>
      <c r="B49" s="138"/>
      <c r="C49" s="174" t="s">
        <v>303</v>
      </c>
      <c r="D49" s="199">
        <v>360</v>
      </c>
      <c r="E49" s="144" t="s">
        <v>267</v>
      </c>
    </row>
    <row r="50" spans="1:5" x14ac:dyDescent="0.35">
      <c r="A50" s="138"/>
      <c r="B50" s="138"/>
      <c r="C50" s="146" t="s">
        <v>304</v>
      </c>
      <c r="D50" s="200">
        <v>3429</v>
      </c>
      <c r="E50" s="139"/>
    </row>
    <row r="51" spans="1:5" x14ac:dyDescent="0.35">
      <c r="A51" s="138"/>
      <c r="B51" s="138"/>
      <c r="C51" s="201" t="s">
        <v>220</v>
      </c>
      <c r="D51" s="202">
        <f>SUM(D48:D50)</f>
        <v>14094</v>
      </c>
      <c r="E51" s="139"/>
    </row>
    <row r="52" spans="1:5" ht="9.9499999999999993" customHeight="1" x14ac:dyDescent="0.35">
      <c r="A52" s="133"/>
      <c r="B52" s="133"/>
      <c r="C52" s="135"/>
      <c r="D52" s="135"/>
      <c r="E52" s="135"/>
    </row>
    <row r="53" spans="1:5" x14ac:dyDescent="0.35">
      <c r="A53" s="172">
        <v>7</v>
      </c>
      <c r="B53" s="203" t="s">
        <v>305</v>
      </c>
      <c r="C53" s="174" t="s">
        <v>290</v>
      </c>
      <c r="D53" s="204">
        <v>1298</v>
      </c>
      <c r="E53" s="131" t="s">
        <v>270</v>
      </c>
    </row>
    <row r="54" spans="1:5" x14ac:dyDescent="0.35">
      <c r="A54" s="138"/>
      <c r="B54" s="138"/>
      <c r="C54" s="174" t="s">
        <v>306</v>
      </c>
      <c r="D54" s="175">
        <v>236</v>
      </c>
      <c r="E54" s="144"/>
    </row>
    <row r="55" spans="1:5" x14ac:dyDescent="0.35">
      <c r="A55" s="138"/>
      <c r="B55" s="138"/>
      <c r="C55" s="174" t="s">
        <v>307</v>
      </c>
      <c r="D55" s="175">
        <v>5175</v>
      </c>
      <c r="E55" s="144" t="s">
        <v>267</v>
      </c>
    </row>
    <row r="56" spans="1:5" x14ac:dyDescent="0.35">
      <c r="A56" s="138"/>
      <c r="B56" s="138"/>
      <c r="C56" s="174" t="s">
        <v>308</v>
      </c>
      <c r="D56" s="175">
        <v>1552</v>
      </c>
      <c r="E56" s="139"/>
    </row>
    <row r="57" spans="1:5" x14ac:dyDescent="0.35">
      <c r="A57" s="138"/>
      <c r="B57" s="138"/>
      <c r="C57" s="174" t="s">
        <v>309</v>
      </c>
      <c r="D57" s="175">
        <v>1144</v>
      </c>
      <c r="E57" s="139"/>
    </row>
    <row r="58" spans="1:5" x14ac:dyDescent="0.35">
      <c r="A58" s="138"/>
      <c r="B58" s="138"/>
      <c r="C58" s="174" t="s">
        <v>310</v>
      </c>
      <c r="D58" s="175">
        <v>472</v>
      </c>
      <c r="E58" s="139"/>
    </row>
    <row r="59" spans="1:5" x14ac:dyDescent="0.35">
      <c r="A59" s="138"/>
      <c r="B59" s="138"/>
      <c r="C59" s="174" t="s">
        <v>311</v>
      </c>
      <c r="D59" s="147">
        <v>10665</v>
      </c>
      <c r="E59" s="139"/>
    </row>
    <row r="60" spans="1:5" x14ac:dyDescent="0.35">
      <c r="A60" s="138"/>
      <c r="B60" s="138"/>
      <c r="C60" s="186" t="s">
        <v>220</v>
      </c>
      <c r="D60" s="205">
        <v>21980</v>
      </c>
      <c r="E60" s="139"/>
    </row>
    <row r="61" spans="1:5" x14ac:dyDescent="0.35">
      <c r="A61" s="133"/>
      <c r="B61" s="133"/>
      <c r="C61" s="135"/>
      <c r="D61" s="135"/>
      <c r="E61" s="135"/>
    </row>
    <row r="63" spans="1:5" x14ac:dyDescent="0.35">
      <c r="A63" s="128" t="s">
        <v>194</v>
      </c>
      <c r="B63" s="128" t="s">
        <v>195</v>
      </c>
      <c r="C63" s="128" t="s">
        <v>19</v>
      </c>
      <c r="D63" s="128" t="s">
        <v>196</v>
      </c>
      <c r="E63" s="128" t="s">
        <v>31</v>
      </c>
    </row>
    <row r="64" spans="1:5" x14ac:dyDescent="0.35">
      <c r="A64" s="128"/>
      <c r="B64" s="128"/>
      <c r="C64" s="128"/>
      <c r="D64" s="128"/>
      <c r="E64" s="128"/>
    </row>
    <row r="65" spans="1:5" x14ac:dyDescent="0.35">
      <c r="A65" s="131"/>
      <c r="B65" s="131"/>
      <c r="C65" s="206" t="s">
        <v>179</v>
      </c>
      <c r="D65" s="207"/>
      <c r="E65" s="131"/>
    </row>
    <row r="66" spans="1:5" x14ac:dyDescent="0.35">
      <c r="A66" s="139"/>
      <c r="B66" s="139"/>
      <c r="C66" s="146" t="s">
        <v>312</v>
      </c>
      <c r="D66" s="147">
        <v>6</v>
      </c>
      <c r="E66" s="139"/>
    </row>
    <row r="67" spans="1:5" x14ac:dyDescent="0.35">
      <c r="A67" s="139"/>
      <c r="B67" s="139"/>
      <c r="C67" s="146" t="s">
        <v>313</v>
      </c>
      <c r="D67" s="147">
        <v>6</v>
      </c>
      <c r="E67" s="139"/>
    </row>
    <row r="68" spans="1:5" x14ac:dyDescent="0.35">
      <c r="A68" s="139"/>
      <c r="B68" s="139"/>
      <c r="C68" s="208" t="s">
        <v>314</v>
      </c>
      <c r="D68" s="147">
        <v>30</v>
      </c>
      <c r="E68" s="139"/>
    </row>
    <row r="69" spans="1:5" x14ac:dyDescent="0.35">
      <c r="A69" s="139"/>
      <c r="B69" s="139"/>
      <c r="C69" s="146" t="s">
        <v>315</v>
      </c>
      <c r="D69" s="147">
        <v>40</v>
      </c>
      <c r="E69" s="139"/>
    </row>
    <row r="70" spans="1:5" x14ac:dyDescent="0.35">
      <c r="A70" s="139"/>
      <c r="B70" s="139"/>
      <c r="C70" s="146" t="s">
        <v>316</v>
      </c>
      <c r="D70" s="147">
        <v>45</v>
      </c>
      <c r="E70" s="139"/>
    </row>
    <row r="71" spans="1:5" x14ac:dyDescent="0.35">
      <c r="A71" s="139"/>
      <c r="B71" s="139"/>
      <c r="C71" s="208" t="s">
        <v>317</v>
      </c>
      <c r="D71" s="147">
        <v>660</v>
      </c>
      <c r="E71" s="139"/>
    </row>
    <row r="72" spans="1:5" x14ac:dyDescent="0.35">
      <c r="A72" s="139"/>
      <c r="B72" s="139"/>
      <c r="C72" s="148" t="s">
        <v>220</v>
      </c>
      <c r="D72" s="149">
        <v>787</v>
      </c>
      <c r="E72" s="139"/>
    </row>
    <row r="73" spans="1:5" ht="9.9499999999999993" customHeight="1" x14ac:dyDescent="0.35">
      <c r="A73" s="135"/>
      <c r="B73" s="135"/>
      <c r="C73" s="135"/>
      <c r="D73" s="135"/>
      <c r="E73" s="135"/>
    </row>
    <row r="74" spans="1:5" x14ac:dyDescent="0.35">
      <c r="A74" s="129">
        <v>8</v>
      </c>
      <c r="B74" s="209" t="s">
        <v>318</v>
      </c>
      <c r="C74" s="159" t="s">
        <v>319</v>
      </c>
      <c r="D74" s="210">
        <v>37750</v>
      </c>
      <c r="E74" s="142" t="s">
        <v>267</v>
      </c>
    </row>
    <row r="75" spans="1:5" x14ac:dyDescent="0.35">
      <c r="A75" s="133"/>
      <c r="B75" s="211"/>
      <c r="C75" s="212"/>
      <c r="D75" s="213"/>
      <c r="E75" s="214"/>
    </row>
    <row r="76" spans="1:5" x14ac:dyDescent="0.35">
      <c r="A76" s="131"/>
      <c r="B76" s="131"/>
      <c r="C76" s="131"/>
      <c r="D76" s="131"/>
      <c r="E76" s="131"/>
    </row>
    <row r="77" spans="1:5" x14ac:dyDescent="0.35">
      <c r="A77" s="139"/>
      <c r="B77" s="139"/>
      <c r="C77" s="139"/>
      <c r="D77" s="139"/>
      <c r="E77" s="139"/>
    </row>
    <row r="78" spans="1:5" x14ac:dyDescent="0.35">
      <c r="A78" s="139"/>
      <c r="B78" s="139"/>
      <c r="C78" s="139"/>
      <c r="D78" s="139"/>
      <c r="E78" s="139"/>
    </row>
    <row r="79" spans="1:5" x14ac:dyDescent="0.35">
      <c r="A79" s="139"/>
      <c r="B79" s="139"/>
      <c r="C79" s="139"/>
      <c r="D79" s="139"/>
      <c r="E79" s="139"/>
    </row>
    <row r="80" spans="1:5" x14ac:dyDescent="0.35">
      <c r="A80" s="139"/>
      <c r="B80" s="139"/>
      <c r="C80" s="139"/>
      <c r="D80" s="139"/>
      <c r="E80" s="139"/>
    </row>
    <row r="81" spans="1:5" x14ac:dyDescent="0.35">
      <c r="A81" s="135"/>
      <c r="B81" s="135"/>
      <c r="C81" s="135"/>
      <c r="D81" s="135"/>
      <c r="E81" s="135"/>
    </row>
  </sheetData>
  <mergeCells count="17">
    <mergeCell ref="A32:A33"/>
    <mergeCell ref="B32:B33"/>
    <mergeCell ref="C32:C33"/>
    <mergeCell ref="D32:D33"/>
    <mergeCell ref="E32:E33"/>
    <mergeCell ref="A63:A64"/>
    <mergeCell ref="B63:B64"/>
    <mergeCell ref="C63:C64"/>
    <mergeCell ref="D63:D64"/>
    <mergeCell ref="E63:E64"/>
    <mergeCell ref="A1:E1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2.37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45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108</v>
      </c>
      <c r="C4" s="95"/>
      <c r="D4" s="30" t="s">
        <v>44</v>
      </c>
      <c r="E4" s="25" t="s">
        <v>109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116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110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89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236210</v>
      </c>
      <c r="B11" s="39"/>
      <c r="C11" s="45" t="s">
        <v>115</v>
      </c>
      <c r="D11" s="40" t="s">
        <v>113</v>
      </c>
      <c r="E11" s="41">
        <v>95000</v>
      </c>
      <c r="F11" s="41">
        <v>95000</v>
      </c>
      <c r="G11" s="40">
        <v>20</v>
      </c>
      <c r="H11" s="56">
        <v>0.05</v>
      </c>
      <c r="I11" s="43">
        <v>4750</v>
      </c>
      <c r="J11" s="40" t="s">
        <v>36</v>
      </c>
      <c r="K11" s="43">
        <v>95000</v>
      </c>
      <c r="L11" s="39"/>
    </row>
    <row r="12" spans="1:12" x14ac:dyDescent="0.2">
      <c r="A12" s="22">
        <v>236575</v>
      </c>
      <c r="B12" s="15"/>
      <c r="C12" s="15" t="s">
        <v>38</v>
      </c>
      <c r="D12" s="15"/>
      <c r="E12" s="16"/>
      <c r="F12" s="16"/>
      <c r="G12" s="15"/>
      <c r="H12" s="57">
        <v>0.05</v>
      </c>
      <c r="I12" s="16">
        <v>4750</v>
      </c>
      <c r="J12" s="16">
        <v>4750</v>
      </c>
      <c r="K12" s="16">
        <f>(K11-J12)</f>
        <v>90250</v>
      </c>
      <c r="L12" s="15"/>
    </row>
    <row r="13" spans="1:12" x14ac:dyDescent="0.2">
      <c r="A13" s="22">
        <v>236941</v>
      </c>
      <c r="B13" s="15"/>
      <c r="C13" s="15" t="s">
        <v>38</v>
      </c>
      <c r="D13" s="15"/>
      <c r="E13" s="16"/>
      <c r="F13" s="16"/>
      <c r="G13" s="15"/>
      <c r="H13" s="57">
        <v>0.05</v>
      </c>
      <c r="I13" s="16">
        <f>I11</f>
        <v>4750</v>
      </c>
      <c r="J13" s="16">
        <f>(J12+I13)</f>
        <v>9500</v>
      </c>
      <c r="K13" s="16">
        <f>(K12-I13)</f>
        <v>85500</v>
      </c>
      <c r="L13" s="15"/>
    </row>
    <row r="14" spans="1:12" x14ac:dyDescent="0.2">
      <c r="A14" s="22">
        <v>237306</v>
      </c>
      <c r="B14" s="15"/>
      <c r="C14" s="15" t="s">
        <v>38</v>
      </c>
      <c r="D14" s="15"/>
      <c r="E14" s="16"/>
      <c r="F14" s="16"/>
      <c r="G14" s="15"/>
      <c r="H14" s="57">
        <v>0.05</v>
      </c>
      <c r="I14" s="16">
        <f t="shared" ref="I14:I23" si="0">I12</f>
        <v>4750</v>
      </c>
      <c r="J14" s="16">
        <f t="shared" ref="J14:J25" si="1">(J13+I14)</f>
        <v>14250</v>
      </c>
      <c r="K14" s="16">
        <f t="shared" ref="K14:K24" si="2">(K13-I14)</f>
        <v>80750</v>
      </c>
      <c r="L14" s="15"/>
    </row>
    <row r="15" spans="1:12" x14ac:dyDescent="0.2">
      <c r="A15" s="22">
        <v>237671</v>
      </c>
      <c r="B15" s="15"/>
      <c r="C15" s="15" t="s">
        <v>38</v>
      </c>
      <c r="D15" s="15"/>
      <c r="E15" s="16"/>
      <c r="F15" s="16"/>
      <c r="G15" s="15"/>
      <c r="H15" s="57">
        <v>0.05</v>
      </c>
      <c r="I15" s="16">
        <f t="shared" si="0"/>
        <v>4750</v>
      </c>
      <c r="J15" s="16">
        <f t="shared" si="1"/>
        <v>19000</v>
      </c>
      <c r="K15" s="16">
        <f t="shared" si="2"/>
        <v>76000</v>
      </c>
      <c r="L15" s="15"/>
    </row>
    <row r="16" spans="1:12" x14ac:dyDescent="0.2">
      <c r="A16" s="22">
        <v>238036</v>
      </c>
      <c r="B16" s="15"/>
      <c r="C16" s="15" t="s">
        <v>38</v>
      </c>
      <c r="D16" s="15"/>
      <c r="E16" s="16"/>
      <c r="F16" s="16"/>
      <c r="G16" s="15"/>
      <c r="H16" s="57">
        <v>0.05</v>
      </c>
      <c r="I16" s="16">
        <f t="shared" si="0"/>
        <v>4750</v>
      </c>
      <c r="J16" s="16">
        <f t="shared" si="1"/>
        <v>23750</v>
      </c>
      <c r="K16" s="16">
        <f t="shared" si="2"/>
        <v>71250</v>
      </c>
      <c r="L16" s="15"/>
    </row>
    <row r="17" spans="1:12" x14ac:dyDescent="0.2">
      <c r="A17" s="22">
        <v>238402</v>
      </c>
      <c r="B17" s="15"/>
      <c r="C17" s="15" t="s">
        <v>38</v>
      </c>
      <c r="D17" s="15"/>
      <c r="E17" s="16"/>
      <c r="F17" s="16"/>
      <c r="G17" s="15"/>
      <c r="H17" s="57">
        <v>0.05</v>
      </c>
      <c r="I17" s="16">
        <f t="shared" si="0"/>
        <v>4750</v>
      </c>
      <c r="J17" s="16">
        <f t="shared" si="1"/>
        <v>28500</v>
      </c>
      <c r="K17" s="16">
        <f t="shared" si="2"/>
        <v>66500</v>
      </c>
      <c r="L17" s="15"/>
    </row>
    <row r="18" spans="1:12" x14ac:dyDescent="0.2">
      <c r="A18" s="22">
        <v>238767</v>
      </c>
      <c r="B18" s="15"/>
      <c r="C18" s="15" t="s">
        <v>38</v>
      </c>
      <c r="D18" s="15"/>
      <c r="E18" s="16"/>
      <c r="F18" s="16"/>
      <c r="G18" s="15"/>
      <c r="H18" s="57">
        <v>0.05</v>
      </c>
      <c r="I18" s="16">
        <f t="shared" si="0"/>
        <v>4750</v>
      </c>
      <c r="J18" s="16">
        <f t="shared" si="1"/>
        <v>33250</v>
      </c>
      <c r="K18" s="16">
        <f t="shared" si="2"/>
        <v>61750</v>
      </c>
      <c r="L18" s="15"/>
    </row>
    <row r="19" spans="1:12" x14ac:dyDescent="0.2">
      <c r="A19" s="22">
        <v>240605</v>
      </c>
      <c r="B19" s="15"/>
      <c r="C19" s="15" t="s">
        <v>111</v>
      </c>
      <c r="D19" s="15"/>
      <c r="E19" s="16"/>
      <c r="F19" s="16"/>
      <c r="G19" s="15"/>
      <c r="H19" s="57">
        <v>0.05</v>
      </c>
      <c r="I19" s="16">
        <v>23750</v>
      </c>
      <c r="J19" s="16">
        <f t="shared" si="1"/>
        <v>57000</v>
      </c>
      <c r="K19" s="16">
        <f t="shared" si="2"/>
        <v>38000</v>
      </c>
      <c r="L19" s="15"/>
    </row>
    <row r="20" spans="1:12" x14ac:dyDescent="0.2">
      <c r="A20" s="22">
        <v>240970</v>
      </c>
      <c r="B20" s="15"/>
      <c r="C20" s="15" t="s">
        <v>38</v>
      </c>
      <c r="D20" s="15"/>
      <c r="E20" s="16"/>
      <c r="F20" s="16"/>
      <c r="G20" s="15"/>
      <c r="H20" s="57">
        <v>0.05</v>
      </c>
      <c r="I20" s="16">
        <f t="shared" si="0"/>
        <v>4750</v>
      </c>
      <c r="J20" s="16">
        <f t="shared" si="1"/>
        <v>61750</v>
      </c>
      <c r="K20" s="16">
        <f t="shared" si="2"/>
        <v>33250</v>
      </c>
      <c r="L20" s="15"/>
    </row>
    <row r="21" spans="1:12" x14ac:dyDescent="0.2">
      <c r="A21" s="22">
        <v>241336</v>
      </c>
      <c r="B21" s="15"/>
      <c r="C21" s="15" t="s">
        <v>38</v>
      </c>
      <c r="D21" s="15"/>
      <c r="E21" s="16"/>
      <c r="F21" s="16"/>
      <c r="G21" s="15"/>
      <c r="H21" s="57">
        <v>0.05</v>
      </c>
      <c r="I21" s="16">
        <v>4750</v>
      </c>
      <c r="J21" s="16">
        <f t="shared" si="1"/>
        <v>66500</v>
      </c>
      <c r="K21" s="16">
        <f t="shared" si="2"/>
        <v>28500</v>
      </c>
      <c r="L21" s="15"/>
    </row>
    <row r="22" spans="1:12" x14ac:dyDescent="0.2">
      <c r="A22" s="22">
        <v>241701</v>
      </c>
      <c r="B22" s="15"/>
      <c r="C22" s="15" t="s">
        <v>38</v>
      </c>
      <c r="D22" s="15"/>
      <c r="E22" s="16"/>
      <c r="F22" s="16"/>
      <c r="G22" s="15"/>
      <c r="H22" s="57">
        <v>0.05</v>
      </c>
      <c r="I22" s="16">
        <f t="shared" si="0"/>
        <v>4750</v>
      </c>
      <c r="J22" s="16">
        <f t="shared" si="1"/>
        <v>71250</v>
      </c>
      <c r="K22" s="16">
        <f t="shared" si="2"/>
        <v>23750</v>
      </c>
      <c r="L22" s="15"/>
    </row>
    <row r="23" spans="1:12" x14ac:dyDescent="0.2">
      <c r="A23" s="22">
        <v>242066</v>
      </c>
      <c r="B23" s="15"/>
      <c r="C23" s="15" t="s">
        <v>38</v>
      </c>
      <c r="D23" s="15"/>
      <c r="E23" s="16"/>
      <c r="F23" s="16"/>
      <c r="G23" s="15"/>
      <c r="H23" s="57">
        <v>0.05</v>
      </c>
      <c r="I23" s="16">
        <f t="shared" si="0"/>
        <v>4750</v>
      </c>
      <c r="J23" s="16">
        <f t="shared" si="1"/>
        <v>76000</v>
      </c>
      <c r="K23" s="16">
        <f t="shared" si="2"/>
        <v>19000</v>
      </c>
      <c r="L23" s="15"/>
    </row>
    <row r="24" spans="1:12" x14ac:dyDescent="0.2">
      <c r="A24" s="22">
        <v>243162</v>
      </c>
      <c r="B24" s="15"/>
      <c r="C24" s="15" t="s">
        <v>112</v>
      </c>
      <c r="D24" s="15"/>
      <c r="E24" s="16"/>
      <c r="F24" s="16"/>
      <c r="G24" s="15"/>
      <c r="H24" s="57">
        <v>0.05</v>
      </c>
      <c r="I24" s="16">
        <v>14250</v>
      </c>
      <c r="J24" s="16">
        <f t="shared" si="1"/>
        <v>90250</v>
      </c>
      <c r="K24" s="16">
        <f t="shared" si="2"/>
        <v>4750</v>
      </c>
      <c r="L24" s="15"/>
    </row>
    <row r="25" spans="1:12" x14ac:dyDescent="0.2">
      <c r="A25" s="22">
        <v>243527</v>
      </c>
      <c r="B25" s="15"/>
      <c r="C25" s="15" t="s">
        <v>38</v>
      </c>
      <c r="D25" s="15"/>
      <c r="E25" s="16"/>
      <c r="F25" s="16"/>
      <c r="G25" s="15"/>
      <c r="H25" s="57">
        <v>0.05</v>
      </c>
      <c r="I25" s="16">
        <f t="shared" ref="I25" si="3">I23</f>
        <v>4750</v>
      </c>
      <c r="J25" s="16">
        <f t="shared" si="1"/>
        <v>95000</v>
      </c>
      <c r="K25" s="35" t="s">
        <v>64</v>
      </c>
      <c r="L25" s="37"/>
    </row>
    <row r="26" spans="1:12" x14ac:dyDescent="0.2">
      <c r="A26" s="22"/>
      <c r="B26" s="15"/>
      <c r="C26" s="15" t="s">
        <v>96</v>
      </c>
      <c r="D26" s="15"/>
      <c r="E26" s="16"/>
      <c r="F26" s="16"/>
      <c r="G26" s="15"/>
      <c r="H26" s="46"/>
      <c r="I26" s="16"/>
      <c r="J26" s="16"/>
      <c r="K26" s="16">
        <v>1</v>
      </c>
      <c r="L26" s="52" t="s">
        <v>65</v>
      </c>
    </row>
    <row r="27" spans="1:12" x14ac:dyDescent="0.2">
      <c r="A27" s="15"/>
      <c r="B27" s="15"/>
      <c r="D27" s="15"/>
      <c r="E27" s="16"/>
      <c r="F27" s="16"/>
      <c r="G27" s="15"/>
      <c r="H27" s="15"/>
      <c r="I27" s="16"/>
      <c r="J27" s="15"/>
      <c r="L27" s="52" t="s">
        <v>66</v>
      </c>
    </row>
    <row r="28" spans="1:12" x14ac:dyDescent="0.2">
      <c r="A28" s="15"/>
      <c r="B28" s="15"/>
      <c r="C28" s="15"/>
      <c r="D28" s="15"/>
      <c r="E28" s="16"/>
      <c r="F28" s="16"/>
      <c r="G28" s="15"/>
      <c r="H28" s="15"/>
      <c r="I28" s="16"/>
      <c r="J28" s="15"/>
      <c r="K28" s="16"/>
      <c r="L28" s="52" t="s">
        <v>67</v>
      </c>
    </row>
    <row r="29" spans="1:12" x14ac:dyDescent="0.2">
      <c r="A29" s="18"/>
      <c r="B29" s="18"/>
      <c r="C29" s="18"/>
      <c r="D29" s="18"/>
      <c r="E29" s="19"/>
      <c r="F29" s="19"/>
      <c r="G29" s="18"/>
      <c r="H29" s="18"/>
      <c r="I29" s="19"/>
      <c r="J29" s="18"/>
      <c r="K29" s="19"/>
      <c r="L29" s="18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1496062992125984" right="0.27559055118110237" top="0.55000000000000004" bottom="0.52" header="0.31496062992125984" footer="0.31496062992125984"/>
  <pageSetup paperSize="9" scale="90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activeCell="D32" sqref="D32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2.37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68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108</v>
      </c>
      <c r="C4" s="95"/>
      <c r="D4" s="30" t="s">
        <v>44</v>
      </c>
      <c r="E4" s="25" t="s">
        <v>114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6" t="s">
        <v>183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110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89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237713</v>
      </c>
      <c r="B11" s="39"/>
      <c r="C11" s="45" t="s">
        <v>184</v>
      </c>
      <c r="D11" s="40" t="s">
        <v>113</v>
      </c>
      <c r="E11" s="41">
        <v>300000</v>
      </c>
      <c r="F11" s="41">
        <v>300000</v>
      </c>
      <c r="G11" s="49" t="s">
        <v>64</v>
      </c>
      <c r="H11" s="56">
        <v>0.05</v>
      </c>
      <c r="I11" s="43">
        <v>15000</v>
      </c>
      <c r="J11" s="40" t="s">
        <v>36</v>
      </c>
      <c r="K11" s="43">
        <v>300000</v>
      </c>
      <c r="L11" s="39" t="s">
        <v>187</v>
      </c>
    </row>
    <row r="12" spans="1:12" x14ac:dyDescent="0.2">
      <c r="A12" s="22">
        <v>239539</v>
      </c>
      <c r="B12" s="15"/>
      <c r="C12" s="15" t="s">
        <v>185</v>
      </c>
      <c r="D12" s="15"/>
      <c r="E12" s="16"/>
      <c r="F12" s="16"/>
      <c r="G12" s="23">
        <v>5</v>
      </c>
      <c r="H12" s="57">
        <v>0.05</v>
      </c>
      <c r="I12" s="16">
        <v>75000</v>
      </c>
      <c r="J12" s="16">
        <v>75000</v>
      </c>
      <c r="K12" s="16">
        <f>(K11-J12)</f>
        <v>225000</v>
      </c>
      <c r="L12" s="15"/>
    </row>
    <row r="13" spans="1:12" x14ac:dyDescent="0.2">
      <c r="A13" s="22">
        <v>239905</v>
      </c>
      <c r="B13" s="15"/>
      <c r="C13" s="15" t="s">
        <v>38</v>
      </c>
      <c r="D13" s="15"/>
      <c r="E13" s="16"/>
      <c r="F13" s="16"/>
      <c r="G13" s="23">
        <v>6</v>
      </c>
      <c r="H13" s="57">
        <v>0.05</v>
      </c>
      <c r="I13" s="16">
        <v>15000</v>
      </c>
      <c r="J13" s="16">
        <f>(J12+I13)</f>
        <v>90000</v>
      </c>
      <c r="K13" s="16">
        <f>(K12-I13)</f>
        <v>210000</v>
      </c>
      <c r="L13" s="15"/>
    </row>
    <row r="14" spans="1:12" x14ac:dyDescent="0.2">
      <c r="A14" s="22">
        <v>240270</v>
      </c>
      <c r="B14" s="15"/>
      <c r="C14" s="15" t="s">
        <v>38</v>
      </c>
      <c r="D14" s="15"/>
      <c r="E14" s="16"/>
      <c r="F14" s="16"/>
      <c r="G14" s="23">
        <v>7</v>
      </c>
      <c r="H14" s="57">
        <v>0.05</v>
      </c>
      <c r="I14" s="16">
        <v>15000</v>
      </c>
      <c r="J14" s="16">
        <f t="shared" ref="J14:J24" si="0">(J13+I14)</f>
        <v>105000</v>
      </c>
      <c r="K14" s="16">
        <f t="shared" ref="K14:K22" si="1">(K13-I14)</f>
        <v>195000</v>
      </c>
      <c r="L14" s="15"/>
    </row>
    <row r="15" spans="1:12" x14ac:dyDescent="0.2">
      <c r="A15" s="22">
        <v>240635</v>
      </c>
      <c r="B15" s="15"/>
      <c r="C15" s="15" t="s">
        <v>38</v>
      </c>
      <c r="D15" s="15"/>
      <c r="E15" s="16"/>
      <c r="F15" s="16"/>
      <c r="G15" s="23">
        <v>8</v>
      </c>
      <c r="H15" s="57">
        <v>0.05</v>
      </c>
      <c r="I15" s="16">
        <f t="shared" ref="I15:I22" si="2">I13</f>
        <v>15000</v>
      </c>
      <c r="J15" s="16">
        <f t="shared" si="0"/>
        <v>120000</v>
      </c>
      <c r="K15" s="16">
        <f t="shared" si="1"/>
        <v>180000</v>
      </c>
      <c r="L15" s="15"/>
    </row>
    <row r="16" spans="1:12" x14ac:dyDescent="0.2">
      <c r="A16" s="22">
        <v>241000</v>
      </c>
      <c r="B16" s="15"/>
      <c r="C16" s="15" t="s">
        <v>38</v>
      </c>
      <c r="D16" s="15"/>
      <c r="E16" s="16"/>
      <c r="F16" s="16"/>
      <c r="G16" s="23">
        <v>9</v>
      </c>
      <c r="H16" s="57">
        <v>0.05</v>
      </c>
      <c r="I16" s="16">
        <f t="shared" si="2"/>
        <v>15000</v>
      </c>
      <c r="J16" s="16">
        <f t="shared" si="0"/>
        <v>135000</v>
      </c>
      <c r="K16" s="16">
        <f t="shared" si="1"/>
        <v>165000</v>
      </c>
      <c r="L16" s="15"/>
    </row>
    <row r="17" spans="1:12" x14ac:dyDescent="0.2">
      <c r="A17" s="22">
        <v>241366</v>
      </c>
      <c r="B17" s="15"/>
      <c r="C17" s="15" t="s">
        <v>38</v>
      </c>
      <c r="D17" s="15"/>
      <c r="E17" s="16"/>
      <c r="F17" s="16"/>
      <c r="G17" s="23">
        <v>10</v>
      </c>
      <c r="H17" s="57">
        <v>0.05</v>
      </c>
      <c r="I17" s="16">
        <f t="shared" si="2"/>
        <v>15000</v>
      </c>
      <c r="J17" s="16">
        <f t="shared" si="0"/>
        <v>150000</v>
      </c>
      <c r="K17" s="16">
        <f t="shared" si="1"/>
        <v>150000</v>
      </c>
      <c r="L17" s="15"/>
    </row>
    <row r="18" spans="1:12" x14ac:dyDescent="0.2">
      <c r="A18" s="22">
        <v>241731</v>
      </c>
      <c r="B18" s="15"/>
      <c r="C18" s="15" t="s">
        <v>38</v>
      </c>
      <c r="D18" s="15"/>
      <c r="E18" s="16"/>
      <c r="F18" s="16"/>
      <c r="G18" s="23">
        <v>11</v>
      </c>
      <c r="H18" s="57">
        <v>0.05</v>
      </c>
      <c r="I18" s="16">
        <f t="shared" si="2"/>
        <v>15000</v>
      </c>
      <c r="J18" s="16">
        <f t="shared" si="0"/>
        <v>165000</v>
      </c>
      <c r="K18" s="16">
        <f t="shared" si="1"/>
        <v>135000</v>
      </c>
      <c r="L18" s="52"/>
    </row>
    <row r="19" spans="1:12" x14ac:dyDescent="0.2">
      <c r="A19" s="22">
        <v>241800</v>
      </c>
      <c r="B19" s="15"/>
      <c r="C19" s="15" t="s">
        <v>188</v>
      </c>
      <c r="D19" s="15"/>
      <c r="E19" s="16">
        <v>24931</v>
      </c>
      <c r="F19" s="16">
        <v>24931</v>
      </c>
      <c r="G19" s="23">
        <v>12</v>
      </c>
      <c r="H19" s="57">
        <v>0.05</v>
      </c>
      <c r="I19" s="16">
        <v>7996.55</v>
      </c>
      <c r="J19" s="16">
        <f>(J18+I19)</f>
        <v>172996.55</v>
      </c>
      <c r="K19" s="16">
        <v>159931</v>
      </c>
      <c r="L19" s="15"/>
    </row>
    <row r="20" spans="1:12" x14ac:dyDescent="0.2">
      <c r="A20" s="22">
        <v>242401</v>
      </c>
      <c r="B20" s="15"/>
      <c r="C20" s="15" t="s">
        <v>188</v>
      </c>
      <c r="D20" s="15"/>
      <c r="E20" s="16">
        <v>49780</v>
      </c>
      <c r="F20" s="16">
        <v>49780</v>
      </c>
      <c r="G20" s="23">
        <v>13</v>
      </c>
      <c r="H20" s="57">
        <v>0.05</v>
      </c>
      <c r="I20" s="16">
        <v>10485.549999999999</v>
      </c>
      <c r="J20" s="16">
        <f t="shared" si="0"/>
        <v>183482.09999999998</v>
      </c>
      <c r="K20" s="16">
        <v>209711</v>
      </c>
      <c r="L20" s="15"/>
    </row>
    <row r="21" spans="1:12" x14ac:dyDescent="0.2">
      <c r="A21" s="22">
        <v>242767</v>
      </c>
      <c r="B21" s="15"/>
      <c r="C21" s="15" t="s">
        <v>38</v>
      </c>
      <c r="D21" s="15"/>
      <c r="E21" s="16"/>
      <c r="F21" s="16"/>
      <c r="G21" s="23">
        <v>14</v>
      </c>
      <c r="H21" s="57">
        <v>0.05</v>
      </c>
      <c r="I21" s="16">
        <v>10485.549999999999</v>
      </c>
      <c r="J21" s="16">
        <f t="shared" si="0"/>
        <v>193967.64999999997</v>
      </c>
      <c r="K21" s="16">
        <f t="shared" si="1"/>
        <v>199225.45</v>
      </c>
      <c r="L21" s="15"/>
    </row>
    <row r="22" spans="1:12" x14ac:dyDescent="0.2">
      <c r="A22" s="22">
        <v>243132</v>
      </c>
      <c r="B22" s="15"/>
      <c r="C22" s="15" t="s">
        <v>38</v>
      </c>
      <c r="D22" s="15"/>
      <c r="E22" s="16"/>
      <c r="F22" s="16"/>
      <c r="G22" s="23">
        <v>15</v>
      </c>
      <c r="H22" s="57">
        <v>0.05</v>
      </c>
      <c r="I22" s="16">
        <f t="shared" si="2"/>
        <v>10485.549999999999</v>
      </c>
      <c r="J22" s="16">
        <f t="shared" si="0"/>
        <v>204453.19999999995</v>
      </c>
      <c r="K22" s="16">
        <f t="shared" si="1"/>
        <v>188739.90000000002</v>
      </c>
      <c r="L22" s="15"/>
    </row>
    <row r="23" spans="1:12" x14ac:dyDescent="0.2">
      <c r="A23" s="22">
        <v>243507</v>
      </c>
      <c r="B23" s="15"/>
      <c r="C23" s="15" t="s">
        <v>188</v>
      </c>
      <c r="D23" s="15"/>
      <c r="E23" s="16">
        <v>12300</v>
      </c>
      <c r="F23" s="16">
        <v>12300</v>
      </c>
      <c r="G23" s="23">
        <v>16</v>
      </c>
      <c r="H23" s="57">
        <v>0.05</v>
      </c>
      <c r="I23" s="16">
        <v>10051.995000000001</v>
      </c>
      <c r="J23" s="16">
        <f t="shared" si="0"/>
        <v>214505.19499999995</v>
      </c>
      <c r="K23" s="16">
        <v>201039.9</v>
      </c>
      <c r="L23" s="15"/>
    </row>
    <row r="24" spans="1:12" x14ac:dyDescent="0.2">
      <c r="A24" s="22">
        <v>243818</v>
      </c>
      <c r="B24" s="15"/>
      <c r="C24" s="15" t="s">
        <v>189</v>
      </c>
      <c r="D24" s="15"/>
      <c r="E24" s="16">
        <v>6600</v>
      </c>
      <c r="F24" s="16">
        <v>6600</v>
      </c>
      <c r="G24" s="23">
        <v>17</v>
      </c>
      <c r="H24" s="57">
        <v>0.05</v>
      </c>
      <c r="I24" s="16">
        <v>10381.995000000001</v>
      </c>
      <c r="J24" s="16">
        <f t="shared" si="0"/>
        <v>224887.18999999994</v>
      </c>
      <c r="K24" s="16">
        <v>207639.9</v>
      </c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57"/>
      <c r="I25" s="16"/>
      <c r="J25" s="16"/>
      <c r="K25" s="16"/>
      <c r="L25" s="37"/>
    </row>
    <row r="26" spans="1:12" x14ac:dyDescent="0.2">
      <c r="A26" s="22"/>
      <c r="B26" s="15"/>
      <c r="C26" s="15"/>
      <c r="D26" s="15"/>
      <c r="E26" s="16"/>
      <c r="F26" s="16"/>
      <c r="G26" s="15"/>
      <c r="H26" s="57"/>
      <c r="I26" s="16"/>
      <c r="J26" s="16"/>
      <c r="K26" s="16"/>
      <c r="L26" s="55"/>
    </row>
    <row r="27" spans="1:12" x14ac:dyDescent="0.2">
      <c r="A27" s="15"/>
      <c r="B27" s="15"/>
      <c r="D27" s="15"/>
      <c r="E27" s="16"/>
      <c r="F27" s="16"/>
      <c r="G27" s="15"/>
      <c r="H27" s="15"/>
      <c r="I27" s="16"/>
      <c r="J27" s="16"/>
      <c r="K27" s="16"/>
      <c r="L27" s="52"/>
    </row>
    <row r="28" spans="1:12" x14ac:dyDescent="0.2">
      <c r="A28" s="18"/>
      <c r="B28" s="18"/>
      <c r="C28" s="18"/>
      <c r="D28" s="18"/>
      <c r="E28" s="19"/>
      <c r="F28" s="19"/>
      <c r="G28" s="18"/>
      <c r="H28" s="18"/>
      <c r="I28" s="19"/>
      <c r="J28" s="18"/>
      <c r="K28" s="19"/>
      <c r="L28" s="53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23622047244094491" right="0.27559055118110237" top="0.51" bottom="0.53" header="0.31496062992125984" footer="0.31496062992125984"/>
  <pageSetup paperSize="9" scale="90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C12" sqref="C12"/>
    </sheetView>
  </sheetViews>
  <sheetFormatPr defaultRowHeight="21" x14ac:dyDescent="0.35"/>
  <cols>
    <col min="1" max="1" width="8.125" style="123" customWidth="1"/>
    <col min="2" max="2" width="12.375" style="123" customWidth="1"/>
    <col min="3" max="3" width="71.125" style="123" customWidth="1"/>
    <col min="4" max="4" width="13.25" style="123" customWidth="1"/>
    <col min="5" max="5" width="34.125" style="123" customWidth="1"/>
    <col min="6" max="16384" width="9" style="123"/>
  </cols>
  <sheetData>
    <row r="1" spans="1:5" ht="26.25" customHeight="1" x14ac:dyDescent="0.35">
      <c r="A1" s="120" t="s">
        <v>193</v>
      </c>
      <c r="B1" s="121"/>
      <c r="C1" s="121"/>
      <c r="D1" s="121"/>
      <c r="E1" s="122"/>
    </row>
    <row r="2" spans="1:5" ht="23.25" x14ac:dyDescent="0.35">
      <c r="A2" s="124" t="s">
        <v>320</v>
      </c>
      <c r="B2" s="125"/>
      <c r="C2" s="125"/>
      <c r="D2" s="125"/>
      <c r="E2" s="126"/>
    </row>
    <row r="3" spans="1:5" ht="23.25" x14ac:dyDescent="0.35">
      <c r="A3" s="127"/>
      <c r="B3" s="127"/>
      <c r="C3" s="127"/>
      <c r="D3" s="127"/>
      <c r="E3" s="127"/>
    </row>
    <row r="4" spans="1:5" x14ac:dyDescent="0.35">
      <c r="A4" s="128" t="s">
        <v>194</v>
      </c>
      <c r="B4" s="128" t="s">
        <v>195</v>
      </c>
      <c r="C4" s="128" t="s">
        <v>19</v>
      </c>
      <c r="D4" s="128" t="s">
        <v>196</v>
      </c>
      <c r="E4" s="128" t="s">
        <v>31</v>
      </c>
    </row>
    <row r="5" spans="1:5" x14ac:dyDescent="0.35">
      <c r="A5" s="128"/>
      <c r="B5" s="128"/>
      <c r="C5" s="128"/>
      <c r="D5" s="128"/>
      <c r="E5" s="128"/>
    </row>
    <row r="6" spans="1:5" x14ac:dyDescent="0.35">
      <c r="A6" s="129">
        <v>1</v>
      </c>
      <c r="B6" s="130" t="s">
        <v>321</v>
      </c>
      <c r="C6" s="131" t="s">
        <v>322</v>
      </c>
      <c r="D6" s="132">
        <v>24931</v>
      </c>
      <c r="E6" s="131" t="s">
        <v>323</v>
      </c>
    </row>
    <row r="7" spans="1:5" x14ac:dyDescent="0.35">
      <c r="A7" s="133"/>
      <c r="B7" s="134"/>
      <c r="C7" s="135"/>
      <c r="D7" s="136"/>
      <c r="E7" s="135"/>
    </row>
    <row r="8" spans="1:5" x14ac:dyDescent="0.35">
      <c r="A8" s="172">
        <v>2</v>
      </c>
      <c r="B8" s="203" t="s">
        <v>324</v>
      </c>
      <c r="C8" s="164" t="s">
        <v>325</v>
      </c>
      <c r="D8" s="215">
        <v>49780</v>
      </c>
      <c r="E8" s="164" t="s">
        <v>326</v>
      </c>
    </row>
    <row r="9" spans="1:5" x14ac:dyDescent="0.35">
      <c r="A9" s="138"/>
      <c r="B9" s="143"/>
      <c r="C9" s="139" t="s">
        <v>327</v>
      </c>
      <c r="D9" s="150"/>
      <c r="E9" s="139"/>
    </row>
    <row r="10" spans="1:5" x14ac:dyDescent="0.35">
      <c r="A10" s="138"/>
      <c r="B10" s="143"/>
      <c r="C10" s="139" t="s">
        <v>328</v>
      </c>
      <c r="D10" s="150"/>
      <c r="E10" s="139"/>
    </row>
    <row r="11" spans="1:5" x14ac:dyDescent="0.35">
      <c r="A11" s="138"/>
      <c r="B11" s="143"/>
      <c r="C11" s="139" t="s">
        <v>329</v>
      </c>
      <c r="D11" s="150"/>
      <c r="E11" s="139"/>
    </row>
    <row r="12" spans="1:5" x14ac:dyDescent="0.35">
      <c r="A12" s="138"/>
      <c r="B12" s="143"/>
      <c r="C12" s="139" t="s">
        <v>330</v>
      </c>
      <c r="D12" s="150"/>
      <c r="E12" s="139"/>
    </row>
    <row r="13" spans="1:5" x14ac:dyDescent="0.35">
      <c r="A13" s="138"/>
      <c r="B13" s="143"/>
      <c r="C13" s="139" t="s">
        <v>331</v>
      </c>
      <c r="D13" s="150"/>
      <c r="E13" s="139"/>
    </row>
    <row r="14" spans="1:5" x14ac:dyDescent="0.35">
      <c r="A14" s="138"/>
      <c r="B14" s="143"/>
      <c r="C14" s="139" t="s">
        <v>332</v>
      </c>
      <c r="D14" s="150"/>
      <c r="E14" s="139"/>
    </row>
    <row r="15" spans="1:5" x14ac:dyDescent="0.35">
      <c r="A15" s="138"/>
      <c r="B15" s="143"/>
      <c r="C15" s="139" t="s">
        <v>333</v>
      </c>
      <c r="D15" s="150"/>
      <c r="E15" s="139"/>
    </row>
    <row r="16" spans="1:5" x14ac:dyDescent="0.35">
      <c r="A16" s="138"/>
      <c r="B16" s="143"/>
      <c r="C16" s="139" t="s">
        <v>334</v>
      </c>
      <c r="D16" s="150"/>
      <c r="E16" s="144"/>
    </row>
    <row r="17" spans="1:5" x14ac:dyDescent="0.35">
      <c r="A17" s="138"/>
      <c r="B17" s="143"/>
      <c r="C17" s="139" t="s">
        <v>335</v>
      </c>
      <c r="D17" s="140"/>
      <c r="E17" s="139"/>
    </row>
    <row r="18" spans="1:5" x14ac:dyDescent="0.35">
      <c r="A18" s="138"/>
      <c r="B18" s="138"/>
      <c r="C18" s="139" t="s">
        <v>336</v>
      </c>
      <c r="D18" s="140"/>
      <c r="E18" s="139"/>
    </row>
    <row r="19" spans="1:5" x14ac:dyDescent="0.35">
      <c r="A19" s="133"/>
      <c r="B19" s="133"/>
      <c r="C19" s="135"/>
      <c r="D19" s="141"/>
      <c r="E19" s="135"/>
    </row>
    <row r="20" spans="1:5" x14ac:dyDescent="0.35">
      <c r="A20" s="188">
        <v>3</v>
      </c>
      <c r="B20" s="189" t="s">
        <v>337</v>
      </c>
      <c r="C20" s="190" t="s">
        <v>322</v>
      </c>
      <c r="D20" s="216">
        <v>12300</v>
      </c>
      <c r="E20" s="190" t="s">
        <v>338</v>
      </c>
    </row>
    <row r="21" spans="1:5" x14ac:dyDescent="0.35">
      <c r="A21" s="154"/>
      <c r="B21" s="154"/>
      <c r="C21" s="155"/>
      <c r="D21" s="217"/>
      <c r="E21" s="155"/>
    </row>
    <row r="22" spans="1:5" x14ac:dyDescent="0.35">
      <c r="A22" s="129">
        <v>4</v>
      </c>
      <c r="B22" s="218" t="s">
        <v>339</v>
      </c>
      <c r="C22" s="142" t="s">
        <v>340</v>
      </c>
      <c r="D22" s="219">
        <v>6600</v>
      </c>
      <c r="E22" s="159" t="s">
        <v>224</v>
      </c>
    </row>
    <row r="23" spans="1:5" x14ac:dyDescent="0.35">
      <c r="A23" s="133"/>
      <c r="B23" s="133"/>
      <c r="C23" s="135"/>
      <c r="D23" s="141"/>
      <c r="E23" s="135"/>
    </row>
    <row r="24" spans="1:5" x14ac:dyDescent="0.35">
      <c r="A24" s="131"/>
      <c r="B24" s="131"/>
      <c r="C24" s="131"/>
      <c r="D24" s="131"/>
      <c r="E24" s="131"/>
    </row>
    <row r="25" spans="1:5" x14ac:dyDescent="0.35">
      <c r="A25" s="139"/>
      <c r="B25" s="139"/>
      <c r="C25" s="139"/>
      <c r="D25" s="139"/>
      <c r="E25" s="139"/>
    </row>
    <row r="26" spans="1:5" x14ac:dyDescent="0.35">
      <c r="A26" s="139"/>
      <c r="B26" s="139"/>
      <c r="C26" s="139"/>
      <c r="D26" s="139"/>
      <c r="E26" s="139"/>
    </row>
    <row r="27" spans="1:5" x14ac:dyDescent="0.35">
      <c r="A27" s="139"/>
      <c r="B27" s="139"/>
      <c r="C27" s="139"/>
      <c r="D27" s="139"/>
      <c r="E27" s="139"/>
    </row>
    <row r="28" spans="1:5" x14ac:dyDescent="0.35">
      <c r="A28" s="135"/>
      <c r="B28" s="135"/>
      <c r="C28" s="135"/>
      <c r="D28" s="135"/>
      <c r="E28" s="135"/>
    </row>
  </sheetData>
  <mergeCells count="7">
    <mergeCell ref="A1:E1"/>
    <mergeCell ref="A2:E2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4.62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45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117</v>
      </c>
      <c r="C4" s="95"/>
      <c r="D4" s="30" t="s">
        <v>44</v>
      </c>
      <c r="E4" s="25" t="s">
        <v>118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6" t="s">
        <v>120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6" t="s">
        <v>119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106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38">
        <v>242291</v>
      </c>
      <c r="B11" s="39"/>
      <c r="C11" s="45" t="s">
        <v>121</v>
      </c>
      <c r="D11" s="40" t="s">
        <v>122</v>
      </c>
      <c r="E11" s="41">
        <v>40000</v>
      </c>
      <c r="F11" s="41">
        <v>40000</v>
      </c>
      <c r="G11" s="40">
        <v>10</v>
      </c>
      <c r="H11" s="56">
        <v>0.1</v>
      </c>
      <c r="I11" s="43">
        <v>4000</v>
      </c>
      <c r="J11" s="40" t="s">
        <v>36</v>
      </c>
      <c r="K11" s="43">
        <v>40000</v>
      </c>
      <c r="L11" s="39"/>
    </row>
    <row r="12" spans="1:12" x14ac:dyDescent="0.2">
      <c r="A12" s="22">
        <v>242657</v>
      </c>
      <c r="B12" s="15"/>
      <c r="C12" s="15" t="s">
        <v>38</v>
      </c>
      <c r="D12" s="15"/>
      <c r="E12" s="16"/>
      <c r="F12" s="16"/>
      <c r="G12" s="15"/>
      <c r="H12" s="57">
        <v>0.1</v>
      </c>
      <c r="I12" s="16">
        <v>4000</v>
      </c>
      <c r="J12" s="16">
        <v>4000</v>
      </c>
      <c r="K12" s="16">
        <f>(K11-J12)</f>
        <v>36000</v>
      </c>
      <c r="L12" s="15"/>
    </row>
    <row r="13" spans="1:12" x14ac:dyDescent="0.2">
      <c r="A13" s="22">
        <v>243022</v>
      </c>
      <c r="B13" s="15"/>
      <c r="C13" s="15" t="s">
        <v>38</v>
      </c>
      <c r="D13" s="15"/>
      <c r="E13" s="16"/>
      <c r="F13" s="16"/>
      <c r="G13" s="15"/>
      <c r="H13" s="57">
        <v>0.1</v>
      </c>
      <c r="I13" s="16">
        <f>I11</f>
        <v>4000</v>
      </c>
      <c r="J13" s="16">
        <f>(J12+I13)</f>
        <v>8000</v>
      </c>
      <c r="K13" s="16">
        <f>(K12-I13)</f>
        <v>32000</v>
      </c>
      <c r="L13" s="15"/>
    </row>
    <row r="14" spans="1:12" x14ac:dyDescent="0.2">
      <c r="A14" s="22">
        <v>243387</v>
      </c>
      <c r="B14" s="15"/>
      <c r="C14" s="15" t="s">
        <v>38</v>
      </c>
      <c r="D14" s="15"/>
      <c r="E14" s="16"/>
      <c r="F14" s="16"/>
      <c r="G14" s="15"/>
      <c r="H14" s="57">
        <v>0.1</v>
      </c>
      <c r="I14" s="16">
        <f t="shared" ref="I14:I15" si="0">I12</f>
        <v>4000</v>
      </c>
      <c r="J14" s="16">
        <f t="shared" ref="J14:J15" si="1">(J13+I14)</f>
        <v>12000</v>
      </c>
      <c r="K14" s="16">
        <f t="shared" ref="K14:K15" si="2">(K13-I14)</f>
        <v>28000</v>
      </c>
      <c r="L14" s="15"/>
    </row>
    <row r="15" spans="1:12" x14ac:dyDescent="0.2">
      <c r="A15" s="22">
        <v>243752</v>
      </c>
      <c r="B15" s="15"/>
      <c r="C15" s="15" t="s">
        <v>38</v>
      </c>
      <c r="D15" s="15"/>
      <c r="E15" s="16"/>
      <c r="F15" s="16"/>
      <c r="G15" s="15"/>
      <c r="H15" s="57">
        <v>0.1</v>
      </c>
      <c r="I15" s="16">
        <f t="shared" si="0"/>
        <v>4000</v>
      </c>
      <c r="J15" s="16">
        <f t="shared" si="1"/>
        <v>16000</v>
      </c>
      <c r="K15" s="16">
        <f t="shared" si="2"/>
        <v>24000</v>
      </c>
      <c r="L15" s="15"/>
    </row>
    <row r="16" spans="1:12" x14ac:dyDescent="0.2">
      <c r="A16" s="22"/>
      <c r="B16" s="15"/>
      <c r="C16" s="15"/>
      <c r="D16" s="15"/>
      <c r="E16" s="16"/>
      <c r="F16" s="16"/>
      <c r="G16" s="15"/>
      <c r="H16" s="46"/>
      <c r="I16" s="16"/>
      <c r="J16" s="16"/>
      <c r="K16" s="16"/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37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55"/>
    </row>
    <row r="27" spans="1:12" x14ac:dyDescent="0.2">
      <c r="A27" s="15"/>
      <c r="B27" s="15"/>
      <c r="D27" s="15"/>
      <c r="E27" s="16"/>
      <c r="F27" s="16"/>
      <c r="G27" s="15"/>
      <c r="H27" s="15"/>
      <c r="I27" s="16"/>
      <c r="J27" s="15"/>
      <c r="K27" s="16"/>
      <c r="L27" s="52"/>
    </row>
    <row r="28" spans="1:12" x14ac:dyDescent="0.2">
      <c r="A28" s="15"/>
      <c r="B28" s="15"/>
      <c r="C28" s="15"/>
      <c r="D28" s="15"/>
      <c r="E28" s="16"/>
      <c r="F28" s="16"/>
      <c r="G28" s="15"/>
      <c r="H28" s="15"/>
      <c r="I28" s="16"/>
      <c r="J28" s="15"/>
      <c r="K28" s="16"/>
      <c r="L28" s="52"/>
    </row>
    <row r="29" spans="1:12" x14ac:dyDescent="0.2">
      <c r="A29" s="18"/>
      <c r="B29" s="18"/>
      <c r="C29" s="18"/>
      <c r="D29" s="18"/>
      <c r="E29" s="19"/>
      <c r="F29" s="19"/>
      <c r="G29" s="18"/>
      <c r="H29" s="18"/>
      <c r="I29" s="19"/>
      <c r="J29" s="18"/>
      <c r="K29" s="19"/>
      <c r="L29" s="53"/>
    </row>
  </sheetData>
  <mergeCells count="9"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1496062992125984" right="0.31496062992125984" top="0.56000000000000005" bottom="0.5" header="0.31496062992125984" footer="0.31496062992125984"/>
  <pageSetup paperSize="9" scale="90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3.2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68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117</v>
      </c>
      <c r="C4" s="95"/>
      <c r="D4" s="30" t="s">
        <v>44</v>
      </c>
      <c r="E4" s="25" t="s">
        <v>139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54" t="s">
        <v>123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6" t="s">
        <v>119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106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242291</v>
      </c>
      <c r="B11" s="100"/>
      <c r="C11" s="11" t="s">
        <v>130</v>
      </c>
      <c r="D11" s="100" t="s">
        <v>124</v>
      </c>
      <c r="E11" s="98">
        <v>25000</v>
      </c>
      <c r="F11" s="98">
        <v>125000</v>
      </c>
      <c r="G11" s="100">
        <v>10</v>
      </c>
      <c r="H11" s="115">
        <v>0.1</v>
      </c>
      <c r="I11" s="98">
        <v>12500</v>
      </c>
      <c r="J11" s="100" t="s">
        <v>36</v>
      </c>
      <c r="K11" s="98">
        <v>125000</v>
      </c>
      <c r="L11" s="100"/>
    </row>
    <row r="12" spans="1:12" x14ac:dyDescent="0.2">
      <c r="A12" s="103"/>
      <c r="B12" s="105"/>
      <c r="C12" s="13" t="s">
        <v>129</v>
      </c>
      <c r="D12" s="105"/>
      <c r="E12" s="109"/>
      <c r="F12" s="109"/>
      <c r="G12" s="105"/>
      <c r="H12" s="116"/>
      <c r="I12" s="109"/>
      <c r="J12" s="105"/>
      <c r="K12" s="109"/>
      <c r="L12" s="105"/>
    </row>
    <row r="13" spans="1:12" x14ac:dyDescent="0.2">
      <c r="A13" s="22">
        <v>242657</v>
      </c>
      <c r="B13" s="15"/>
      <c r="C13" s="15" t="s">
        <v>38</v>
      </c>
      <c r="D13" s="15"/>
      <c r="E13" s="16"/>
      <c r="F13" s="16"/>
      <c r="G13" s="15"/>
      <c r="H13" s="57">
        <v>0.1</v>
      </c>
      <c r="I13" s="16">
        <v>12500</v>
      </c>
      <c r="J13" s="16">
        <v>12500</v>
      </c>
      <c r="K13" s="16">
        <f>(K11-J13)</f>
        <v>112500</v>
      </c>
      <c r="L13" s="15"/>
    </row>
    <row r="14" spans="1:12" x14ac:dyDescent="0.2">
      <c r="A14" s="22">
        <v>243022</v>
      </c>
      <c r="B14" s="15"/>
      <c r="C14" s="15" t="s">
        <v>38</v>
      </c>
      <c r="D14" s="15"/>
      <c r="E14" s="16"/>
      <c r="F14" s="16"/>
      <c r="G14" s="15"/>
      <c r="H14" s="57">
        <v>0.1</v>
      </c>
      <c r="I14" s="16">
        <f>I11</f>
        <v>12500</v>
      </c>
      <c r="J14" s="16">
        <f>(J13+I14)</f>
        <v>25000</v>
      </c>
      <c r="K14" s="16">
        <f>(K13-I14)</f>
        <v>100000</v>
      </c>
      <c r="L14" s="15"/>
    </row>
    <row r="15" spans="1:12" x14ac:dyDescent="0.2">
      <c r="A15" s="22">
        <v>243387</v>
      </c>
      <c r="B15" s="15"/>
      <c r="C15" s="15" t="s">
        <v>38</v>
      </c>
      <c r="D15" s="15"/>
      <c r="E15" s="16"/>
      <c r="F15" s="16"/>
      <c r="G15" s="15"/>
      <c r="H15" s="57">
        <v>0.1</v>
      </c>
      <c r="I15" s="16">
        <f t="shared" ref="I15:I16" si="0">I13</f>
        <v>12500</v>
      </c>
      <c r="J15" s="16">
        <f t="shared" ref="J15:J16" si="1">(J14+I15)</f>
        <v>37500</v>
      </c>
      <c r="K15" s="16">
        <f t="shared" ref="K15:K16" si="2">(K14-I15)</f>
        <v>87500</v>
      </c>
      <c r="L15" s="15"/>
    </row>
    <row r="16" spans="1:12" x14ac:dyDescent="0.2">
      <c r="A16" s="22">
        <v>243752</v>
      </c>
      <c r="B16" s="15"/>
      <c r="C16" s="15" t="s">
        <v>38</v>
      </c>
      <c r="D16" s="15"/>
      <c r="E16" s="16"/>
      <c r="F16" s="16"/>
      <c r="G16" s="15"/>
      <c r="H16" s="57">
        <v>0.1</v>
      </c>
      <c r="I16" s="16">
        <f t="shared" si="0"/>
        <v>12500</v>
      </c>
      <c r="J16" s="16">
        <f t="shared" si="1"/>
        <v>50000</v>
      </c>
      <c r="K16" s="16">
        <f t="shared" si="2"/>
        <v>75000</v>
      </c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37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55"/>
    </row>
    <row r="28" spans="1:12" x14ac:dyDescent="0.2">
      <c r="A28" s="15"/>
      <c r="B28" s="15"/>
      <c r="D28" s="15"/>
      <c r="E28" s="16"/>
      <c r="F28" s="16"/>
      <c r="G28" s="15"/>
      <c r="H28" s="15"/>
      <c r="I28" s="16"/>
      <c r="J28" s="15"/>
      <c r="K28" s="16"/>
      <c r="L28" s="52"/>
    </row>
    <row r="29" spans="1:12" x14ac:dyDescent="0.2">
      <c r="A29" s="15"/>
      <c r="B29" s="15"/>
      <c r="C29" s="15"/>
      <c r="D29" s="15"/>
      <c r="E29" s="16"/>
      <c r="F29" s="16"/>
      <c r="G29" s="15"/>
      <c r="H29" s="15"/>
      <c r="I29" s="16"/>
      <c r="J29" s="15"/>
      <c r="K29" s="16"/>
      <c r="L29" s="52"/>
    </row>
    <row r="30" spans="1:12" x14ac:dyDescent="0.2">
      <c r="A30" s="18"/>
      <c r="B30" s="18"/>
      <c r="C30" s="18"/>
      <c r="D30" s="18"/>
      <c r="E30" s="19"/>
      <c r="F30" s="19"/>
      <c r="G30" s="18"/>
      <c r="H30" s="18"/>
      <c r="I30" s="19"/>
      <c r="J30" s="18"/>
      <c r="K30" s="19"/>
      <c r="L30" s="53"/>
    </row>
  </sheetData>
  <mergeCells count="20">
    <mergeCell ref="I11:I12"/>
    <mergeCell ref="J11:J12"/>
    <mergeCell ref="K11:K12"/>
    <mergeCell ref="L11:L12"/>
    <mergeCell ref="G11:G12"/>
    <mergeCell ref="H11:H12"/>
    <mergeCell ref="A1:L1"/>
    <mergeCell ref="B3:C3"/>
    <mergeCell ref="B4:C4"/>
    <mergeCell ref="A9:A10"/>
    <mergeCell ref="B9:B10"/>
    <mergeCell ref="C9:C10"/>
    <mergeCell ref="F9:F10"/>
    <mergeCell ref="K9:K10"/>
    <mergeCell ref="L9:L10"/>
    <mergeCell ref="A11:A12"/>
    <mergeCell ref="B11:B12"/>
    <mergeCell ref="D11:D12"/>
    <mergeCell ref="E11:E12"/>
    <mergeCell ref="F11:F12"/>
  </mergeCells>
  <printOptions horizontalCentered="1"/>
  <pageMargins left="0.27559055118110237" right="0.31496062992125984" top="0.51181102362204722" bottom="0.51181102362204722" header="0.31496062992125984" footer="0.31496062992125984"/>
  <pageSetup paperSize="9" scale="90" orientation="landscape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3.2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73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117</v>
      </c>
      <c r="C4" s="95"/>
      <c r="D4" s="30" t="s">
        <v>44</v>
      </c>
      <c r="E4" s="25" t="s">
        <v>140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125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6" t="s">
        <v>119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106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242291</v>
      </c>
      <c r="B11" s="100"/>
      <c r="C11" s="11" t="s">
        <v>127</v>
      </c>
      <c r="D11" s="100" t="s">
        <v>128</v>
      </c>
      <c r="E11" s="98">
        <v>18000</v>
      </c>
      <c r="F11" s="98">
        <v>270000</v>
      </c>
      <c r="G11" s="100">
        <v>10</v>
      </c>
      <c r="H11" s="115">
        <v>0.1</v>
      </c>
      <c r="I11" s="98">
        <v>27000</v>
      </c>
      <c r="J11" s="100" t="s">
        <v>36</v>
      </c>
      <c r="K11" s="98">
        <v>270000</v>
      </c>
      <c r="L11" s="100"/>
    </row>
    <row r="12" spans="1:12" x14ac:dyDescent="0.2">
      <c r="A12" s="103"/>
      <c r="B12" s="105"/>
      <c r="C12" s="13" t="s">
        <v>126</v>
      </c>
      <c r="D12" s="105"/>
      <c r="E12" s="109"/>
      <c r="F12" s="109"/>
      <c r="G12" s="105"/>
      <c r="H12" s="116"/>
      <c r="I12" s="109"/>
      <c r="J12" s="105"/>
      <c r="K12" s="109"/>
      <c r="L12" s="105"/>
    </row>
    <row r="13" spans="1:12" x14ac:dyDescent="0.2">
      <c r="A13" s="22">
        <v>242657</v>
      </c>
      <c r="B13" s="15"/>
      <c r="C13" s="15" t="s">
        <v>38</v>
      </c>
      <c r="D13" s="15"/>
      <c r="E13" s="16"/>
      <c r="F13" s="16"/>
      <c r="G13" s="15"/>
      <c r="H13" s="57">
        <v>0.1</v>
      </c>
      <c r="I13" s="16">
        <v>27000</v>
      </c>
      <c r="J13" s="16">
        <v>27000</v>
      </c>
      <c r="K13" s="16">
        <f>(K11-J13)</f>
        <v>243000</v>
      </c>
      <c r="L13" s="15"/>
    </row>
    <row r="14" spans="1:12" x14ac:dyDescent="0.2">
      <c r="A14" s="22">
        <v>243022</v>
      </c>
      <c r="B14" s="15"/>
      <c r="C14" s="15" t="s">
        <v>38</v>
      </c>
      <c r="D14" s="15"/>
      <c r="E14" s="16"/>
      <c r="F14" s="16"/>
      <c r="G14" s="15"/>
      <c r="H14" s="57">
        <v>0.1</v>
      </c>
      <c r="I14" s="16">
        <f>I11</f>
        <v>27000</v>
      </c>
      <c r="J14" s="16">
        <f>(J13+I14)</f>
        <v>54000</v>
      </c>
      <c r="K14" s="16">
        <f>(K13-I14)</f>
        <v>216000</v>
      </c>
      <c r="L14" s="15"/>
    </row>
    <row r="15" spans="1:12" x14ac:dyDescent="0.2">
      <c r="A15" s="22">
        <v>243387</v>
      </c>
      <c r="B15" s="15"/>
      <c r="C15" s="15" t="s">
        <v>38</v>
      </c>
      <c r="D15" s="15"/>
      <c r="E15" s="16"/>
      <c r="F15" s="16"/>
      <c r="G15" s="15"/>
      <c r="H15" s="57">
        <v>0.1</v>
      </c>
      <c r="I15" s="16">
        <f t="shared" ref="I15:I16" si="0">I13</f>
        <v>27000</v>
      </c>
      <c r="J15" s="16">
        <f t="shared" ref="J15:J16" si="1">(J14+I15)</f>
        <v>81000</v>
      </c>
      <c r="K15" s="16">
        <f t="shared" ref="K15:K16" si="2">(K14-I15)</f>
        <v>189000</v>
      </c>
      <c r="L15" s="15"/>
    </row>
    <row r="16" spans="1:12" x14ac:dyDescent="0.2">
      <c r="A16" s="22">
        <v>243752</v>
      </c>
      <c r="B16" s="15"/>
      <c r="C16" s="15" t="s">
        <v>38</v>
      </c>
      <c r="D16" s="15"/>
      <c r="E16" s="16"/>
      <c r="F16" s="16"/>
      <c r="G16" s="15"/>
      <c r="H16" s="57">
        <v>0.1</v>
      </c>
      <c r="I16" s="16">
        <f t="shared" si="0"/>
        <v>27000</v>
      </c>
      <c r="J16" s="16">
        <f t="shared" si="1"/>
        <v>108000</v>
      </c>
      <c r="K16" s="16">
        <f t="shared" si="2"/>
        <v>162000</v>
      </c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37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55"/>
    </row>
    <row r="28" spans="1:12" x14ac:dyDescent="0.2">
      <c r="A28" s="15"/>
      <c r="B28" s="15"/>
      <c r="D28" s="15"/>
      <c r="E28" s="16"/>
      <c r="F28" s="16"/>
      <c r="G28" s="15"/>
      <c r="H28" s="15"/>
      <c r="I28" s="16"/>
      <c r="J28" s="15"/>
      <c r="K28" s="16"/>
      <c r="L28" s="52"/>
    </row>
    <row r="29" spans="1:12" x14ac:dyDescent="0.2">
      <c r="A29" s="15"/>
      <c r="B29" s="15"/>
      <c r="C29" s="15"/>
      <c r="D29" s="15"/>
      <c r="E29" s="16"/>
      <c r="F29" s="16"/>
      <c r="G29" s="15"/>
      <c r="H29" s="15"/>
      <c r="I29" s="16"/>
      <c r="J29" s="15"/>
      <c r="K29" s="16"/>
      <c r="L29" s="52"/>
    </row>
    <row r="30" spans="1:12" x14ac:dyDescent="0.2">
      <c r="A30" s="18"/>
      <c r="B30" s="18"/>
      <c r="C30" s="18"/>
      <c r="D30" s="18"/>
      <c r="E30" s="19"/>
      <c r="F30" s="19"/>
      <c r="G30" s="18"/>
      <c r="H30" s="18"/>
      <c r="I30" s="19"/>
      <c r="J30" s="18"/>
      <c r="K30" s="19"/>
      <c r="L30" s="53"/>
    </row>
  </sheetData>
  <mergeCells count="20">
    <mergeCell ref="L11:L12"/>
    <mergeCell ref="A11:A12"/>
    <mergeCell ref="B11:B12"/>
    <mergeCell ref="D11:D12"/>
    <mergeCell ref="E11:E12"/>
    <mergeCell ref="F11:F12"/>
    <mergeCell ref="G11:G12"/>
    <mergeCell ref="H11:H12"/>
    <mergeCell ref="I11:I12"/>
    <mergeCell ref="J11:J12"/>
    <mergeCell ref="K11:K12"/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9370078740157483" right="0.35433070866141736" top="0.44" bottom="0.45" header="0.31496062992125984" footer="0.31496062992125984"/>
  <pageSetup paperSize="9" scale="90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C11" sqref="C11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3.2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45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131</v>
      </c>
      <c r="C4" s="95"/>
      <c r="D4" s="30" t="s">
        <v>44</v>
      </c>
      <c r="E4" s="25" t="s">
        <v>134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132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136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106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242724</v>
      </c>
      <c r="B11" s="100"/>
      <c r="C11" s="59" t="s">
        <v>132</v>
      </c>
      <c r="D11" s="100" t="s">
        <v>133</v>
      </c>
      <c r="E11" s="98">
        <v>15000</v>
      </c>
      <c r="F11" s="98">
        <v>45000</v>
      </c>
      <c r="G11" s="100">
        <v>5</v>
      </c>
      <c r="H11" s="115">
        <v>0.2</v>
      </c>
      <c r="I11" s="98">
        <v>9000</v>
      </c>
      <c r="J11" s="100" t="s">
        <v>36</v>
      </c>
      <c r="K11" s="98">
        <v>45000</v>
      </c>
      <c r="L11" s="100"/>
    </row>
    <row r="12" spans="1:12" x14ac:dyDescent="0.2">
      <c r="A12" s="103"/>
      <c r="B12" s="105"/>
      <c r="C12" s="58" t="s">
        <v>135</v>
      </c>
      <c r="D12" s="105"/>
      <c r="E12" s="109"/>
      <c r="F12" s="109"/>
      <c r="G12" s="105"/>
      <c r="H12" s="116"/>
      <c r="I12" s="109"/>
      <c r="J12" s="105"/>
      <c r="K12" s="109"/>
      <c r="L12" s="105"/>
    </row>
    <row r="13" spans="1:12" x14ac:dyDescent="0.2">
      <c r="A13" s="22">
        <v>243089</v>
      </c>
      <c r="B13" s="15"/>
      <c r="C13" s="15" t="s">
        <v>38</v>
      </c>
      <c r="D13" s="15"/>
      <c r="E13" s="16"/>
      <c r="F13" s="16"/>
      <c r="G13" s="15"/>
      <c r="H13" s="57">
        <v>0.2</v>
      </c>
      <c r="I13" s="16">
        <v>9000</v>
      </c>
      <c r="J13" s="16">
        <v>9000</v>
      </c>
      <c r="K13" s="16">
        <f>(K11-J13)</f>
        <v>36000</v>
      </c>
      <c r="L13" s="15"/>
    </row>
    <row r="14" spans="1:12" x14ac:dyDescent="0.2">
      <c r="A14" s="22">
        <v>243454</v>
      </c>
      <c r="B14" s="15"/>
      <c r="C14" s="15" t="s">
        <v>38</v>
      </c>
      <c r="D14" s="15"/>
      <c r="E14" s="16"/>
      <c r="F14" s="16"/>
      <c r="G14" s="15"/>
      <c r="H14" s="57">
        <v>0.2</v>
      </c>
      <c r="I14" s="16">
        <f>I11</f>
        <v>9000</v>
      </c>
      <c r="J14" s="16">
        <f>(J13+I14)</f>
        <v>18000</v>
      </c>
      <c r="K14" s="16">
        <f>(K13-I14)</f>
        <v>27000</v>
      </c>
      <c r="L14" s="15"/>
    </row>
    <row r="15" spans="1:12" x14ac:dyDescent="0.2">
      <c r="A15" s="22">
        <v>243819</v>
      </c>
      <c r="B15" s="15"/>
      <c r="C15" s="15" t="s">
        <v>38</v>
      </c>
      <c r="D15" s="15"/>
      <c r="E15" s="16"/>
      <c r="F15" s="16"/>
      <c r="G15" s="15"/>
      <c r="H15" s="57">
        <v>0.2</v>
      </c>
      <c r="I15" s="16">
        <f t="shared" ref="I15" si="0">I13</f>
        <v>9000</v>
      </c>
      <c r="J15" s="16">
        <f t="shared" ref="J15" si="1">(J14+I15)</f>
        <v>27000</v>
      </c>
      <c r="K15" s="16">
        <f t="shared" ref="K15" si="2">(K14-I15)</f>
        <v>18000</v>
      </c>
      <c r="L15" s="15"/>
    </row>
    <row r="16" spans="1:12" x14ac:dyDescent="0.2">
      <c r="A16" s="22"/>
      <c r="B16" s="15"/>
      <c r="C16" s="15"/>
      <c r="D16" s="15"/>
      <c r="E16" s="16"/>
      <c r="F16" s="16"/>
      <c r="G16" s="15"/>
      <c r="H16" s="57"/>
      <c r="I16" s="16"/>
      <c r="J16" s="16"/>
      <c r="K16" s="16"/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37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55"/>
    </row>
    <row r="28" spans="1:12" x14ac:dyDescent="0.2">
      <c r="A28" s="15"/>
      <c r="B28" s="15"/>
      <c r="D28" s="15"/>
      <c r="E28" s="16"/>
      <c r="F28" s="16"/>
      <c r="G28" s="15"/>
      <c r="H28" s="15"/>
      <c r="I28" s="16"/>
      <c r="J28" s="15"/>
      <c r="K28" s="16"/>
      <c r="L28" s="52"/>
    </row>
    <row r="29" spans="1:12" x14ac:dyDescent="0.2">
      <c r="A29" s="15"/>
      <c r="B29" s="15"/>
      <c r="C29" s="15"/>
      <c r="D29" s="15"/>
      <c r="E29" s="16"/>
      <c r="F29" s="16"/>
      <c r="G29" s="15"/>
      <c r="H29" s="15"/>
      <c r="I29" s="16"/>
      <c r="J29" s="15"/>
      <c r="K29" s="16"/>
      <c r="L29" s="52"/>
    </row>
    <row r="30" spans="1:12" x14ac:dyDescent="0.2">
      <c r="A30" s="18"/>
      <c r="B30" s="18"/>
      <c r="C30" s="18"/>
      <c r="D30" s="18"/>
      <c r="E30" s="19"/>
      <c r="F30" s="19"/>
      <c r="G30" s="18"/>
      <c r="H30" s="18"/>
      <c r="I30" s="19"/>
      <c r="J30" s="18"/>
      <c r="K30" s="19"/>
      <c r="L30" s="53"/>
    </row>
  </sheetData>
  <mergeCells count="20">
    <mergeCell ref="I11:I12"/>
    <mergeCell ref="J11:J12"/>
    <mergeCell ref="K11:K12"/>
    <mergeCell ref="L11:L12"/>
    <mergeCell ref="G11:G12"/>
    <mergeCell ref="H11:H12"/>
    <mergeCell ref="A1:L1"/>
    <mergeCell ref="B3:C3"/>
    <mergeCell ref="B4:C4"/>
    <mergeCell ref="A9:A10"/>
    <mergeCell ref="B9:B10"/>
    <mergeCell ref="C9:C10"/>
    <mergeCell ref="F9:F10"/>
    <mergeCell ref="K9:K10"/>
    <mergeCell ref="L9:L10"/>
    <mergeCell ref="A11:A12"/>
    <mergeCell ref="B11:B12"/>
    <mergeCell ref="D11:D12"/>
    <mergeCell ref="E11:E12"/>
    <mergeCell ref="F11:F12"/>
  </mergeCells>
  <printOptions horizontalCentered="1"/>
  <pageMargins left="0.31496062992125984" right="0.31496062992125984" top="0.51181102362204722" bottom="0.55118110236220474" header="0.31496062992125984" footer="0.31496062992125984"/>
  <pageSetup paperSize="9" scale="90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C12" sqref="C12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3.2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8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68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131</v>
      </c>
      <c r="C4" s="95"/>
      <c r="D4" s="30" t="s">
        <v>44</v>
      </c>
      <c r="E4" s="25" t="s">
        <v>137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4" t="s">
        <v>132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57</v>
      </c>
      <c r="J6" s="34" t="s">
        <v>136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106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242724</v>
      </c>
      <c r="B11" s="100"/>
      <c r="C11" s="59" t="s">
        <v>132</v>
      </c>
      <c r="D11" s="100" t="s">
        <v>122</v>
      </c>
      <c r="E11" s="98">
        <v>20900</v>
      </c>
      <c r="F11" s="98">
        <v>20900</v>
      </c>
      <c r="G11" s="100">
        <v>5</v>
      </c>
      <c r="H11" s="115">
        <v>0.2</v>
      </c>
      <c r="I11" s="98">
        <v>4180</v>
      </c>
      <c r="J11" s="100" t="s">
        <v>36</v>
      </c>
      <c r="K11" s="98">
        <v>20900</v>
      </c>
      <c r="L11" s="100"/>
    </row>
    <row r="12" spans="1:12" x14ac:dyDescent="0.2">
      <c r="A12" s="103"/>
      <c r="B12" s="105"/>
      <c r="C12" s="58" t="s">
        <v>138</v>
      </c>
      <c r="D12" s="105"/>
      <c r="E12" s="109"/>
      <c r="F12" s="109"/>
      <c r="G12" s="105"/>
      <c r="H12" s="116"/>
      <c r="I12" s="109"/>
      <c r="J12" s="105"/>
      <c r="K12" s="109"/>
      <c r="L12" s="105"/>
    </row>
    <row r="13" spans="1:12" x14ac:dyDescent="0.2">
      <c r="A13" s="22">
        <v>243089</v>
      </c>
      <c r="B13" s="15"/>
      <c r="C13" s="15" t="s">
        <v>38</v>
      </c>
      <c r="D13" s="15"/>
      <c r="E13" s="16"/>
      <c r="F13" s="16"/>
      <c r="G13" s="15"/>
      <c r="H13" s="57">
        <v>0.2</v>
      </c>
      <c r="I13" s="16">
        <v>4180</v>
      </c>
      <c r="J13" s="16">
        <v>4180</v>
      </c>
      <c r="K13" s="16">
        <f>(K11-J13)</f>
        <v>16720</v>
      </c>
      <c r="L13" s="15"/>
    </row>
    <row r="14" spans="1:12" x14ac:dyDescent="0.2">
      <c r="A14" s="22">
        <v>243454</v>
      </c>
      <c r="B14" s="15"/>
      <c r="C14" s="15" t="s">
        <v>38</v>
      </c>
      <c r="D14" s="15"/>
      <c r="E14" s="16"/>
      <c r="F14" s="16"/>
      <c r="G14" s="15"/>
      <c r="H14" s="57">
        <v>0.2</v>
      </c>
      <c r="I14" s="16">
        <f>I11</f>
        <v>4180</v>
      </c>
      <c r="J14" s="16">
        <f>(J13+I14)</f>
        <v>8360</v>
      </c>
      <c r="K14" s="16">
        <f>(K13-I14)</f>
        <v>12540</v>
      </c>
      <c r="L14" s="15"/>
    </row>
    <row r="15" spans="1:12" x14ac:dyDescent="0.2">
      <c r="A15" s="22">
        <v>243819</v>
      </c>
      <c r="B15" s="15"/>
      <c r="C15" s="15" t="s">
        <v>38</v>
      </c>
      <c r="D15" s="15"/>
      <c r="E15" s="16"/>
      <c r="F15" s="16"/>
      <c r="G15" s="15"/>
      <c r="H15" s="57">
        <v>0.2</v>
      </c>
      <c r="I15" s="16">
        <f t="shared" ref="I15" si="0">I13</f>
        <v>4180</v>
      </c>
      <c r="J15" s="16">
        <f t="shared" ref="J15" si="1">(J14+I15)</f>
        <v>12540</v>
      </c>
      <c r="K15" s="16">
        <f t="shared" ref="K15" si="2">(K14-I15)</f>
        <v>8360</v>
      </c>
      <c r="L15" s="15"/>
    </row>
    <row r="16" spans="1:12" x14ac:dyDescent="0.2">
      <c r="A16" s="22"/>
      <c r="B16" s="15"/>
      <c r="C16" s="15"/>
      <c r="D16" s="15"/>
      <c r="E16" s="16"/>
      <c r="F16" s="16"/>
      <c r="G16" s="15"/>
      <c r="H16" s="57"/>
      <c r="I16" s="16"/>
      <c r="J16" s="16"/>
      <c r="K16" s="16"/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37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55"/>
    </row>
    <row r="28" spans="1:12" x14ac:dyDescent="0.2">
      <c r="A28" s="15"/>
      <c r="B28" s="15"/>
      <c r="D28" s="15"/>
      <c r="E28" s="16"/>
      <c r="F28" s="16"/>
      <c r="G28" s="15"/>
      <c r="H28" s="15"/>
      <c r="I28" s="16"/>
      <c r="J28" s="15"/>
      <c r="K28" s="16"/>
      <c r="L28" s="52"/>
    </row>
    <row r="29" spans="1:12" x14ac:dyDescent="0.2">
      <c r="A29" s="15"/>
      <c r="B29" s="15"/>
      <c r="C29" s="15"/>
      <c r="D29" s="15"/>
      <c r="E29" s="16"/>
      <c r="F29" s="16"/>
      <c r="G29" s="15"/>
      <c r="H29" s="15"/>
      <c r="I29" s="16"/>
      <c r="J29" s="15"/>
      <c r="K29" s="16"/>
      <c r="L29" s="52"/>
    </row>
    <row r="30" spans="1:12" x14ac:dyDescent="0.2">
      <c r="A30" s="18"/>
      <c r="B30" s="18"/>
      <c r="C30" s="18"/>
      <c r="D30" s="18"/>
      <c r="E30" s="19"/>
      <c r="F30" s="19"/>
      <c r="G30" s="18"/>
      <c r="H30" s="18"/>
      <c r="I30" s="19"/>
      <c r="J30" s="18"/>
      <c r="K30" s="19"/>
      <c r="L30" s="53"/>
    </row>
  </sheetData>
  <mergeCells count="20">
    <mergeCell ref="I11:I12"/>
    <mergeCell ref="J11:J12"/>
    <mergeCell ref="K11:K12"/>
    <mergeCell ref="L11:L12"/>
    <mergeCell ref="G11:G12"/>
    <mergeCell ref="H11:H12"/>
    <mergeCell ref="A1:L1"/>
    <mergeCell ref="B3:C3"/>
    <mergeCell ref="B4:C4"/>
    <mergeCell ref="A9:A10"/>
    <mergeCell ref="B9:B10"/>
    <mergeCell ref="C9:C10"/>
    <mergeCell ref="F9:F10"/>
    <mergeCell ref="K9:K10"/>
    <mergeCell ref="L9:L10"/>
    <mergeCell ref="A11:A12"/>
    <mergeCell ref="B11:B12"/>
    <mergeCell ref="D11:D12"/>
    <mergeCell ref="E11:E12"/>
    <mergeCell ref="F11:F12"/>
  </mergeCells>
  <printOptions horizontalCentered="1"/>
  <pageMargins left="0.4" right="0.35" top="0.44" bottom="0.43" header="0.31496062992125984" footer="0.31496062992125984"/>
  <pageSetup paperSize="9" scale="90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J5" sqref="J5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4.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7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45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141</v>
      </c>
      <c r="C4" s="95"/>
      <c r="D4" s="30" t="s">
        <v>44</v>
      </c>
      <c r="E4" s="25" t="s">
        <v>142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6" t="s">
        <v>143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149</v>
      </c>
      <c r="J6" s="34" t="s">
        <v>150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148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243766</v>
      </c>
      <c r="B11" s="100"/>
      <c r="C11" s="60" t="s">
        <v>144</v>
      </c>
      <c r="D11" s="100" t="s">
        <v>147</v>
      </c>
      <c r="E11" s="98">
        <v>16800</v>
      </c>
      <c r="F11" s="98">
        <v>33600</v>
      </c>
      <c r="G11" s="100">
        <v>12</v>
      </c>
      <c r="H11" s="113">
        <v>8.5000000000000006E-2</v>
      </c>
      <c r="I11" s="98">
        <v>2856</v>
      </c>
      <c r="J11" s="100" t="s">
        <v>36</v>
      </c>
      <c r="K11" s="98">
        <v>33600</v>
      </c>
      <c r="L11" s="100"/>
    </row>
    <row r="12" spans="1:12" x14ac:dyDescent="0.2">
      <c r="A12" s="117"/>
      <c r="B12" s="114"/>
      <c r="C12" s="62" t="s">
        <v>145</v>
      </c>
      <c r="D12" s="114"/>
      <c r="E12" s="118"/>
      <c r="F12" s="118"/>
      <c r="G12" s="114"/>
      <c r="H12" s="119"/>
      <c r="I12" s="118"/>
      <c r="J12" s="114"/>
      <c r="K12" s="118"/>
      <c r="L12" s="114"/>
    </row>
    <row r="13" spans="1:12" x14ac:dyDescent="0.2">
      <c r="A13" s="103"/>
      <c r="B13" s="105"/>
      <c r="C13" s="61" t="s">
        <v>146</v>
      </c>
      <c r="D13" s="105"/>
      <c r="E13" s="109"/>
      <c r="F13" s="109"/>
      <c r="G13" s="105"/>
      <c r="H13" s="107"/>
      <c r="I13" s="109"/>
      <c r="J13" s="105"/>
      <c r="K13" s="109"/>
      <c r="L13" s="105"/>
    </row>
    <row r="14" spans="1:12" x14ac:dyDescent="0.2">
      <c r="A14" s="22"/>
      <c r="B14" s="15"/>
      <c r="C14" s="15"/>
      <c r="D14" s="15"/>
      <c r="E14" s="16"/>
      <c r="F14" s="16"/>
      <c r="G14" s="15"/>
      <c r="H14" s="46"/>
      <c r="I14" s="16"/>
      <c r="J14" s="16"/>
      <c r="K14" s="16"/>
      <c r="L14" s="15"/>
    </row>
    <row r="15" spans="1:12" x14ac:dyDescent="0.2">
      <c r="A15" s="22"/>
      <c r="B15" s="15"/>
      <c r="C15" s="15"/>
      <c r="D15" s="15"/>
      <c r="E15" s="16"/>
      <c r="F15" s="16"/>
      <c r="G15" s="15"/>
      <c r="H15" s="46"/>
      <c r="I15" s="16"/>
      <c r="J15" s="16"/>
      <c r="K15" s="16"/>
      <c r="L15" s="15"/>
    </row>
    <row r="16" spans="1:12" x14ac:dyDescent="0.2">
      <c r="A16" s="22"/>
      <c r="B16" s="15"/>
      <c r="C16" s="15"/>
      <c r="D16" s="15"/>
      <c r="E16" s="16"/>
      <c r="F16" s="16"/>
      <c r="G16" s="15"/>
      <c r="H16" s="46"/>
      <c r="I16" s="16"/>
      <c r="J16" s="16"/>
      <c r="K16" s="16"/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15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37"/>
    </row>
    <row r="28" spans="1:12" x14ac:dyDescent="0.2">
      <c r="A28" s="22"/>
      <c r="B28" s="15"/>
      <c r="C28" s="15"/>
      <c r="D28" s="15"/>
      <c r="E28" s="16"/>
      <c r="F28" s="16"/>
      <c r="G28" s="15"/>
      <c r="H28" s="46"/>
      <c r="I28" s="16"/>
      <c r="J28" s="16"/>
      <c r="K28" s="16"/>
      <c r="L28" s="55"/>
    </row>
    <row r="29" spans="1:12" x14ac:dyDescent="0.2">
      <c r="A29" s="15"/>
      <c r="B29" s="15"/>
      <c r="D29" s="15"/>
      <c r="E29" s="16"/>
      <c r="F29" s="16"/>
      <c r="G29" s="15"/>
      <c r="H29" s="63"/>
      <c r="I29" s="16"/>
      <c r="J29" s="15"/>
      <c r="K29" s="16"/>
      <c r="L29" s="52"/>
    </row>
    <row r="30" spans="1:12" x14ac:dyDescent="0.2">
      <c r="A30" s="15"/>
      <c r="B30" s="15"/>
      <c r="C30" s="15"/>
      <c r="D30" s="15"/>
      <c r="E30" s="16"/>
      <c r="F30" s="16"/>
      <c r="G30" s="15"/>
      <c r="H30" s="63"/>
      <c r="I30" s="16"/>
      <c r="J30" s="15"/>
      <c r="K30" s="16"/>
      <c r="L30" s="52"/>
    </row>
    <row r="31" spans="1:12" x14ac:dyDescent="0.2">
      <c r="A31" s="18"/>
      <c r="B31" s="18"/>
      <c r="C31" s="18"/>
      <c r="D31" s="18"/>
      <c r="E31" s="19"/>
      <c r="F31" s="19"/>
      <c r="G31" s="18"/>
      <c r="H31" s="64"/>
      <c r="I31" s="19"/>
      <c r="J31" s="18"/>
      <c r="K31" s="19"/>
      <c r="L31" s="53"/>
    </row>
  </sheetData>
  <mergeCells count="20">
    <mergeCell ref="L11:L13"/>
    <mergeCell ref="A11:A13"/>
    <mergeCell ref="D11:D13"/>
    <mergeCell ref="E11:E13"/>
    <mergeCell ref="F11:F13"/>
    <mergeCell ref="G11:G13"/>
    <mergeCell ref="H11:H13"/>
    <mergeCell ref="I11:I13"/>
    <mergeCell ref="J11:J13"/>
    <mergeCell ref="K11:K13"/>
    <mergeCell ref="B11:B13"/>
    <mergeCell ref="A1:L1"/>
    <mergeCell ref="B3:C3"/>
    <mergeCell ref="B4:C4"/>
    <mergeCell ref="A9:A10"/>
    <mergeCell ref="B9:B10"/>
    <mergeCell ref="C9:C10"/>
    <mergeCell ref="F9:F10"/>
    <mergeCell ref="K9:K10"/>
    <mergeCell ref="L9:L10"/>
  </mergeCells>
  <printOptions horizontalCentered="1"/>
  <pageMargins left="0.31496062992125984" right="0.27559055118110237" top="0.43307086614173229" bottom="0.47244094488188981" header="0.31496062992125984" footer="0.31496062992125984"/>
  <pageSetup paperSize="9" scale="90" orientation="landscape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J5" sqref="J5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4.7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7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68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141</v>
      </c>
      <c r="C4" s="95"/>
      <c r="D4" s="30" t="s">
        <v>44</v>
      </c>
      <c r="E4" s="25" t="s">
        <v>151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6" t="s">
        <v>153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149</v>
      </c>
      <c r="J6" s="34" t="s">
        <v>150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148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243766</v>
      </c>
      <c r="B11" s="100"/>
      <c r="C11" s="60" t="s">
        <v>144</v>
      </c>
      <c r="D11" s="100" t="s">
        <v>122</v>
      </c>
      <c r="E11" s="98">
        <v>27200</v>
      </c>
      <c r="F11" s="98">
        <v>27200</v>
      </c>
      <c r="G11" s="100">
        <v>12</v>
      </c>
      <c r="H11" s="113">
        <v>8.5000000000000006E-2</v>
      </c>
      <c r="I11" s="98">
        <v>2310</v>
      </c>
      <c r="J11" s="100" t="s">
        <v>36</v>
      </c>
      <c r="K11" s="98">
        <v>27200</v>
      </c>
      <c r="L11" s="100"/>
    </row>
    <row r="12" spans="1:12" x14ac:dyDescent="0.2">
      <c r="A12" s="117"/>
      <c r="B12" s="114"/>
      <c r="C12" s="62" t="s">
        <v>152</v>
      </c>
      <c r="D12" s="114"/>
      <c r="E12" s="118"/>
      <c r="F12" s="118"/>
      <c r="G12" s="114"/>
      <c r="H12" s="119"/>
      <c r="I12" s="118"/>
      <c r="J12" s="114"/>
      <c r="K12" s="118"/>
      <c r="L12" s="114"/>
    </row>
    <row r="13" spans="1:12" x14ac:dyDescent="0.2">
      <c r="A13" s="103"/>
      <c r="B13" s="105"/>
      <c r="C13" s="61" t="s">
        <v>154</v>
      </c>
      <c r="D13" s="105"/>
      <c r="E13" s="109"/>
      <c r="F13" s="109"/>
      <c r="G13" s="105"/>
      <c r="H13" s="107"/>
      <c r="I13" s="109"/>
      <c r="J13" s="105"/>
      <c r="K13" s="109"/>
      <c r="L13" s="105"/>
    </row>
    <row r="14" spans="1:12" x14ac:dyDescent="0.2">
      <c r="A14" s="22"/>
      <c r="B14" s="15"/>
      <c r="C14" s="15"/>
      <c r="D14" s="15"/>
      <c r="E14" s="16"/>
      <c r="F14" s="16"/>
      <c r="G14" s="15"/>
      <c r="H14" s="46"/>
      <c r="I14" s="16"/>
      <c r="J14" s="16"/>
      <c r="K14" s="16"/>
      <c r="L14" s="15"/>
    </row>
    <row r="15" spans="1:12" x14ac:dyDescent="0.2">
      <c r="A15" s="22"/>
      <c r="B15" s="15"/>
      <c r="C15" s="15"/>
      <c r="D15" s="15"/>
      <c r="E15" s="16"/>
      <c r="F15" s="16"/>
      <c r="G15" s="15"/>
      <c r="H15" s="46"/>
      <c r="I15" s="16"/>
      <c r="J15" s="16"/>
      <c r="K15" s="16"/>
      <c r="L15" s="15"/>
    </row>
    <row r="16" spans="1:12" x14ac:dyDescent="0.2">
      <c r="A16" s="22"/>
      <c r="B16" s="15"/>
      <c r="C16" s="15"/>
      <c r="D16" s="15"/>
      <c r="E16" s="16"/>
      <c r="F16" s="16"/>
      <c r="G16" s="15"/>
      <c r="H16" s="46"/>
      <c r="I16" s="16"/>
      <c r="J16" s="16"/>
      <c r="K16" s="16"/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15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37"/>
    </row>
    <row r="28" spans="1:12" x14ac:dyDescent="0.2">
      <c r="A28" s="22"/>
      <c r="B28" s="15"/>
      <c r="C28" s="15"/>
      <c r="D28" s="15"/>
      <c r="E28" s="16"/>
      <c r="F28" s="16"/>
      <c r="G28" s="15"/>
      <c r="H28" s="46"/>
      <c r="I28" s="16"/>
      <c r="J28" s="16"/>
      <c r="K28" s="16"/>
      <c r="L28" s="55"/>
    </row>
    <row r="29" spans="1:12" x14ac:dyDescent="0.2">
      <c r="A29" s="15"/>
      <c r="B29" s="15"/>
      <c r="D29" s="15"/>
      <c r="E29" s="16"/>
      <c r="F29" s="16"/>
      <c r="G29" s="15"/>
      <c r="H29" s="63"/>
      <c r="I29" s="16"/>
      <c r="J29" s="15"/>
      <c r="K29" s="16"/>
      <c r="L29" s="52"/>
    </row>
    <row r="30" spans="1:12" x14ac:dyDescent="0.2">
      <c r="A30" s="15"/>
      <c r="B30" s="15"/>
      <c r="C30" s="15"/>
      <c r="D30" s="15"/>
      <c r="E30" s="16"/>
      <c r="F30" s="16"/>
      <c r="G30" s="15"/>
      <c r="H30" s="63"/>
      <c r="I30" s="16"/>
      <c r="J30" s="15"/>
      <c r="K30" s="16"/>
      <c r="L30" s="52"/>
    </row>
    <row r="31" spans="1:12" x14ac:dyDescent="0.2">
      <c r="A31" s="18"/>
      <c r="B31" s="18"/>
      <c r="C31" s="18"/>
      <c r="D31" s="18"/>
      <c r="E31" s="19"/>
      <c r="F31" s="19"/>
      <c r="G31" s="18"/>
      <c r="H31" s="64"/>
      <c r="I31" s="19"/>
      <c r="J31" s="18"/>
      <c r="K31" s="19"/>
      <c r="L31" s="53"/>
    </row>
  </sheetData>
  <mergeCells count="20">
    <mergeCell ref="I11:I13"/>
    <mergeCell ref="J11:J13"/>
    <mergeCell ref="K11:K13"/>
    <mergeCell ref="L11:L13"/>
    <mergeCell ref="G11:G13"/>
    <mergeCell ref="H11:H13"/>
    <mergeCell ref="A1:L1"/>
    <mergeCell ref="B3:C3"/>
    <mergeCell ref="B4:C4"/>
    <mergeCell ref="A9:A10"/>
    <mergeCell ref="B9:B10"/>
    <mergeCell ref="C9:C10"/>
    <mergeCell ref="F9:F10"/>
    <mergeCell ref="K9:K10"/>
    <mergeCell ref="L9:L10"/>
    <mergeCell ref="A11:A13"/>
    <mergeCell ref="B11:B13"/>
    <mergeCell ref="D11:D13"/>
    <mergeCell ref="E11:E13"/>
    <mergeCell ref="F11:F13"/>
  </mergeCells>
  <printOptions horizontalCentered="1"/>
  <pageMargins left="0.31496062992125984" right="0.31496062992125984" top="0.43307086614173229" bottom="0.51181102362204722" header="0.31496062992125984" footer="0.31496062992125984"/>
  <pageSetup paperSize="9" scale="90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J5" sqref="J5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4.75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7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73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141</v>
      </c>
      <c r="C4" s="95"/>
      <c r="D4" s="30" t="s">
        <v>44</v>
      </c>
      <c r="E4" s="25" t="s">
        <v>158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6" t="s">
        <v>155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149</v>
      </c>
      <c r="J6" s="34" t="s">
        <v>150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148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243766</v>
      </c>
      <c r="B11" s="100"/>
      <c r="C11" s="60" t="s">
        <v>144</v>
      </c>
      <c r="D11" s="100" t="s">
        <v>133</v>
      </c>
      <c r="E11" s="98">
        <v>36300</v>
      </c>
      <c r="F11" s="98">
        <v>108900</v>
      </c>
      <c r="G11" s="100">
        <v>12</v>
      </c>
      <c r="H11" s="113">
        <v>8.5000000000000006E-2</v>
      </c>
      <c r="I11" s="98">
        <v>9256.5</v>
      </c>
      <c r="J11" s="100" t="s">
        <v>36</v>
      </c>
      <c r="K11" s="98">
        <v>108900</v>
      </c>
      <c r="L11" s="100"/>
    </row>
    <row r="12" spans="1:12" x14ac:dyDescent="0.2">
      <c r="A12" s="117"/>
      <c r="B12" s="114"/>
      <c r="C12" s="62" t="s">
        <v>156</v>
      </c>
      <c r="D12" s="114"/>
      <c r="E12" s="118"/>
      <c r="F12" s="118"/>
      <c r="G12" s="114"/>
      <c r="H12" s="119"/>
      <c r="I12" s="118"/>
      <c r="J12" s="114"/>
      <c r="K12" s="118"/>
      <c r="L12" s="114"/>
    </row>
    <row r="13" spans="1:12" x14ac:dyDescent="0.2">
      <c r="A13" s="103"/>
      <c r="B13" s="105"/>
      <c r="C13" s="61" t="s">
        <v>157</v>
      </c>
      <c r="D13" s="105"/>
      <c r="E13" s="109"/>
      <c r="F13" s="109"/>
      <c r="G13" s="105"/>
      <c r="H13" s="107"/>
      <c r="I13" s="109"/>
      <c r="J13" s="105"/>
      <c r="K13" s="109"/>
      <c r="L13" s="105"/>
    </row>
    <row r="14" spans="1:12" x14ac:dyDescent="0.2">
      <c r="A14" s="22"/>
      <c r="B14" s="15"/>
      <c r="C14" s="15"/>
      <c r="D14" s="15"/>
      <c r="E14" s="16"/>
      <c r="F14" s="16"/>
      <c r="G14" s="15"/>
      <c r="H14" s="46"/>
      <c r="I14" s="16"/>
      <c r="J14" s="16"/>
      <c r="K14" s="16"/>
      <c r="L14" s="15"/>
    </row>
    <row r="15" spans="1:12" x14ac:dyDescent="0.2">
      <c r="A15" s="22"/>
      <c r="B15" s="15"/>
      <c r="C15" s="15"/>
      <c r="D15" s="15"/>
      <c r="E15" s="16"/>
      <c r="F15" s="16"/>
      <c r="G15" s="15"/>
      <c r="H15" s="46"/>
      <c r="I15" s="16"/>
      <c r="J15" s="16"/>
      <c r="K15" s="16"/>
      <c r="L15" s="15"/>
    </row>
    <row r="16" spans="1:12" x14ac:dyDescent="0.2">
      <c r="A16" s="22"/>
      <c r="B16" s="15"/>
      <c r="C16" s="15"/>
      <c r="D16" s="15"/>
      <c r="E16" s="16"/>
      <c r="F16" s="16"/>
      <c r="G16" s="15"/>
      <c r="H16" s="46"/>
      <c r="I16" s="16"/>
      <c r="J16" s="16"/>
      <c r="K16" s="16"/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15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37"/>
    </row>
    <row r="28" spans="1:12" x14ac:dyDescent="0.2">
      <c r="A28" s="22"/>
      <c r="B28" s="15"/>
      <c r="C28" s="15"/>
      <c r="D28" s="15"/>
      <c r="E28" s="16"/>
      <c r="F28" s="16"/>
      <c r="G28" s="15"/>
      <c r="H28" s="46"/>
      <c r="I28" s="16"/>
      <c r="J28" s="16"/>
      <c r="K28" s="16"/>
      <c r="L28" s="55"/>
    </row>
    <row r="29" spans="1:12" x14ac:dyDescent="0.2">
      <c r="A29" s="15"/>
      <c r="B29" s="15"/>
      <c r="D29" s="15"/>
      <c r="E29" s="16"/>
      <c r="F29" s="16"/>
      <c r="G29" s="15"/>
      <c r="H29" s="63"/>
      <c r="I29" s="16"/>
      <c r="J29" s="15"/>
      <c r="K29" s="16"/>
      <c r="L29" s="52"/>
    </row>
    <row r="30" spans="1:12" x14ac:dyDescent="0.2">
      <c r="A30" s="18"/>
      <c r="B30" s="18"/>
      <c r="C30" s="18"/>
      <c r="D30" s="18"/>
      <c r="E30" s="19"/>
      <c r="F30" s="19"/>
      <c r="G30" s="18"/>
      <c r="H30" s="64"/>
      <c r="I30" s="19"/>
      <c r="J30" s="18"/>
      <c r="K30" s="19"/>
      <c r="L30" s="53"/>
    </row>
  </sheetData>
  <mergeCells count="20">
    <mergeCell ref="I11:I13"/>
    <mergeCell ref="J11:J13"/>
    <mergeCell ref="K11:K13"/>
    <mergeCell ref="L11:L13"/>
    <mergeCell ref="G11:G13"/>
    <mergeCell ref="H11:H13"/>
    <mergeCell ref="A1:L1"/>
    <mergeCell ref="B3:C3"/>
    <mergeCell ref="B4:C4"/>
    <mergeCell ref="A9:A10"/>
    <mergeCell ref="B9:B10"/>
    <mergeCell ref="C9:C10"/>
    <mergeCell ref="F9:F10"/>
    <mergeCell ref="K9:K10"/>
    <mergeCell ref="L9:L10"/>
    <mergeCell ref="A11:A13"/>
    <mergeCell ref="B11:B13"/>
    <mergeCell ref="D11:D13"/>
    <mergeCell ref="E11:E13"/>
    <mergeCell ref="F11:F13"/>
  </mergeCells>
  <printOptions horizontalCentered="1"/>
  <pageMargins left="0.23622047244094491" right="0.31496062992125984" top="0.47244094488188981" bottom="0.43307086614173229" header="0.31496062992125984" footer="0.31496062992125984"/>
  <pageSetup paperSize="9" scale="90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M11" sqref="M11"/>
    </sheetView>
  </sheetViews>
  <sheetFormatPr defaultColWidth="9.125" defaultRowHeight="18.75" x14ac:dyDescent="0.2"/>
  <cols>
    <col min="1" max="1" width="10.25" style="6" customWidth="1"/>
    <col min="2" max="2" width="8.25" style="6" customWidth="1"/>
    <col min="3" max="3" width="24" style="6" customWidth="1"/>
    <col min="4" max="4" width="8.875" style="6" customWidth="1"/>
    <col min="5" max="6" width="10.625" style="7" customWidth="1"/>
    <col min="7" max="7" width="8" style="6" customWidth="1"/>
    <col min="8" max="8" width="9.125" style="6" customWidth="1"/>
    <col min="9" max="9" width="10.625" style="7" customWidth="1"/>
    <col min="10" max="10" width="11.375" style="6" customWidth="1"/>
    <col min="11" max="11" width="11.375" style="7" customWidth="1"/>
    <col min="12" max="12" width="17.625" style="6" customWidth="1"/>
    <col min="13" max="16384" width="9.125" style="6"/>
  </cols>
  <sheetData>
    <row r="1" spans="1:12" ht="23.25" x14ac:dyDescent="0.2">
      <c r="A1" s="93" t="s">
        <v>63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2" ht="9" customHeight="1" x14ac:dyDescent="0.2"/>
    <row r="3" spans="1:12" ht="19.5" x14ac:dyDescent="0.2">
      <c r="A3" s="29" t="s">
        <v>40</v>
      </c>
      <c r="B3" s="94" t="s">
        <v>74</v>
      </c>
      <c r="C3" s="94"/>
      <c r="H3" s="29" t="s">
        <v>54</v>
      </c>
      <c r="J3" s="28" t="s">
        <v>76</v>
      </c>
      <c r="K3" s="26"/>
      <c r="L3" s="27"/>
    </row>
    <row r="4" spans="1:12" ht="19.5" x14ac:dyDescent="0.3">
      <c r="A4" s="29" t="s">
        <v>41</v>
      </c>
      <c r="B4" s="95" t="s">
        <v>141</v>
      </c>
      <c r="C4" s="95"/>
      <c r="D4" s="30" t="s">
        <v>44</v>
      </c>
      <c r="E4" s="25" t="s">
        <v>159</v>
      </c>
      <c r="F4" s="26"/>
      <c r="H4" s="29" t="s">
        <v>55</v>
      </c>
      <c r="J4" s="34" t="s">
        <v>47</v>
      </c>
      <c r="K4" s="33"/>
      <c r="L4" s="32"/>
    </row>
    <row r="5" spans="1:12" ht="19.5" x14ac:dyDescent="0.2">
      <c r="A5" s="29" t="s">
        <v>42</v>
      </c>
      <c r="C5" s="28" t="s">
        <v>49</v>
      </c>
      <c r="D5" s="27"/>
      <c r="E5" s="26"/>
      <c r="F5" s="26"/>
      <c r="H5" s="29" t="s">
        <v>56</v>
      </c>
      <c r="J5" s="36" t="s">
        <v>160</v>
      </c>
      <c r="K5" s="33"/>
      <c r="L5" s="32"/>
    </row>
    <row r="6" spans="1:12" ht="19.5" x14ac:dyDescent="0.2">
      <c r="A6" s="29" t="s">
        <v>43</v>
      </c>
      <c r="B6" s="28" t="s">
        <v>93</v>
      </c>
      <c r="C6" s="27"/>
      <c r="D6" s="27"/>
      <c r="E6" s="26"/>
      <c r="F6" s="26"/>
      <c r="H6" s="24" t="s">
        <v>149</v>
      </c>
      <c r="J6" s="34" t="s">
        <v>150</v>
      </c>
      <c r="K6" s="33"/>
      <c r="L6" s="32"/>
    </row>
    <row r="7" spans="1:12" ht="19.5" x14ac:dyDescent="0.2">
      <c r="A7" s="29" t="s">
        <v>41</v>
      </c>
      <c r="B7" s="28" t="s">
        <v>51</v>
      </c>
      <c r="C7" s="27"/>
      <c r="D7" s="31" t="s">
        <v>12</v>
      </c>
      <c r="E7" s="25" t="s">
        <v>148</v>
      </c>
      <c r="F7" s="26"/>
      <c r="H7" s="29" t="s">
        <v>61</v>
      </c>
      <c r="J7" s="34" t="s">
        <v>78</v>
      </c>
      <c r="K7" s="33"/>
      <c r="L7" s="32"/>
    </row>
    <row r="9" spans="1:12" s="8" customFormat="1" x14ac:dyDescent="0.2">
      <c r="A9" s="96" t="s">
        <v>17</v>
      </c>
      <c r="B9" s="96" t="s">
        <v>18</v>
      </c>
      <c r="C9" s="96" t="s">
        <v>19</v>
      </c>
      <c r="D9" s="4" t="s">
        <v>20</v>
      </c>
      <c r="E9" s="3" t="s">
        <v>22</v>
      </c>
      <c r="F9" s="98" t="s">
        <v>24</v>
      </c>
      <c r="G9" s="4" t="s">
        <v>25</v>
      </c>
      <c r="H9" s="4" t="s">
        <v>26</v>
      </c>
      <c r="I9" s="3" t="s">
        <v>27</v>
      </c>
      <c r="J9" s="4" t="s">
        <v>27</v>
      </c>
      <c r="K9" s="98" t="s">
        <v>30</v>
      </c>
      <c r="L9" s="100" t="s">
        <v>31</v>
      </c>
    </row>
    <row r="10" spans="1:12" s="8" customFormat="1" x14ac:dyDescent="0.2">
      <c r="A10" s="97"/>
      <c r="B10" s="97"/>
      <c r="C10" s="97"/>
      <c r="D10" s="9" t="s">
        <v>21</v>
      </c>
      <c r="E10" s="10" t="s">
        <v>23</v>
      </c>
      <c r="F10" s="99"/>
      <c r="G10" s="9" t="s">
        <v>32</v>
      </c>
      <c r="H10" s="9" t="s">
        <v>27</v>
      </c>
      <c r="I10" s="10" t="s">
        <v>28</v>
      </c>
      <c r="J10" s="9" t="s">
        <v>29</v>
      </c>
      <c r="K10" s="99"/>
      <c r="L10" s="101"/>
    </row>
    <row r="11" spans="1:12" x14ac:dyDescent="0.2">
      <c r="A11" s="108">
        <v>243766</v>
      </c>
      <c r="B11" s="100"/>
      <c r="C11" s="60" t="s">
        <v>144</v>
      </c>
      <c r="D11" s="100" t="s">
        <v>147</v>
      </c>
      <c r="E11" s="98">
        <v>43000</v>
      </c>
      <c r="F11" s="98">
        <v>86000</v>
      </c>
      <c r="G11" s="100">
        <v>12</v>
      </c>
      <c r="H11" s="113">
        <v>8.5000000000000006E-2</v>
      </c>
      <c r="I11" s="98">
        <v>7310</v>
      </c>
      <c r="J11" s="100" t="s">
        <v>36</v>
      </c>
      <c r="K11" s="98">
        <v>86000</v>
      </c>
      <c r="L11" s="100"/>
    </row>
    <row r="12" spans="1:12" x14ac:dyDescent="0.2">
      <c r="A12" s="117"/>
      <c r="B12" s="114"/>
      <c r="C12" s="62" t="s">
        <v>161</v>
      </c>
      <c r="D12" s="114"/>
      <c r="E12" s="118"/>
      <c r="F12" s="118"/>
      <c r="G12" s="114"/>
      <c r="H12" s="119"/>
      <c r="I12" s="118"/>
      <c r="J12" s="114"/>
      <c r="K12" s="118"/>
      <c r="L12" s="114"/>
    </row>
    <row r="13" spans="1:12" x14ac:dyDescent="0.2">
      <c r="A13" s="103"/>
      <c r="B13" s="105"/>
      <c r="C13" s="61" t="s">
        <v>162</v>
      </c>
      <c r="D13" s="105"/>
      <c r="E13" s="109"/>
      <c r="F13" s="109"/>
      <c r="G13" s="105"/>
      <c r="H13" s="107"/>
      <c r="I13" s="109"/>
      <c r="J13" s="105"/>
      <c r="K13" s="109"/>
      <c r="L13" s="105"/>
    </row>
    <row r="14" spans="1:12" x14ac:dyDescent="0.2">
      <c r="A14" s="22"/>
      <c r="B14" s="15"/>
      <c r="C14" s="15"/>
      <c r="D14" s="15"/>
      <c r="E14" s="16"/>
      <c r="F14" s="16"/>
      <c r="G14" s="15"/>
      <c r="H14" s="46"/>
      <c r="I14" s="16"/>
      <c r="J14" s="16"/>
      <c r="K14" s="16"/>
      <c r="L14" s="15"/>
    </row>
    <row r="15" spans="1:12" x14ac:dyDescent="0.2">
      <c r="A15" s="22"/>
      <c r="B15" s="15"/>
      <c r="C15" s="15"/>
      <c r="D15" s="15"/>
      <c r="E15" s="16"/>
      <c r="F15" s="16"/>
      <c r="G15" s="15"/>
      <c r="H15" s="46"/>
      <c r="I15" s="16"/>
      <c r="J15" s="16"/>
      <c r="K15" s="16"/>
      <c r="L15" s="15"/>
    </row>
    <row r="16" spans="1:12" x14ac:dyDescent="0.2">
      <c r="A16" s="22"/>
      <c r="B16" s="15"/>
      <c r="C16" s="15"/>
      <c r="D16" s="15"/>
      <c r="E16" s="16"/>
      <c r="F16" s="16"/>
      <c r="G16" s="15"/>
      <c r="H16" s="46"/>
      <c r="I16" s="16"/>
      <c r="J16" s="16"/>
      <c r="K16" s="16"/>
      <c r="L16" s="15"/>
    </row>
    <row r="17" spans="1:12" x14ac:dyDescent="0.2">
      <c r="A17" s="22"/>
      <c r="B17" s="15"/>
      <c r="C17" s="15"/>
      <c r="D17" s="15"/>
      <c r="E17" s="16"/>
      <c r="F17" s="16"/>
      <c r="G17" s="15"/>
      <c r="H17" s="46"/>
      <c r="I17" s="16"/>
      <c r="J17" s="16"/>
      <c r="K17" s="16"/>
      <c r="L17" s="15"/>
    </row>
    <row r="18" spans="1:12" x14ac:dyDescent="0.2">
      <c r="A18" s="22"/>
      <c r="B18" s="15"/>
      <c r="C18" s="15"/>
      <c r="D18" s="15"/>
      <c r="E18" s="16"/>
      <c r="F18" s="16"/>
      <c r="G18" s="15"/>
      <c r="H18" s="46"/>
      <c r="I18" s="16"/>
      <c r="J18" s="16"/>
      <c r="K18" s="16"/>
      <c r="L18" s="15"/>
    </row>
    <row r="19" spans="1:12" x14ac:dyDescent="0.2">
      <c r="A19" s="22"/>
      <c r="B19" s="15"/>
      <c r="C19" s="15"/>
      <c r="D19" s="15"/>
      <c r="E19" s="16"/>
      <c r="F19" s="16"/>
      <c r="G19" s="15"/>
      <c r="H19" s="46"/>
      <c r="I19" s="16"/>
      <c r="J19" s="16"/>
      <c r="K19" s="16"/>
      <c r="L19" s="15"/>
    </row>
    <row r="20" spans="1:12" x14ac:dyDescent="0.2">
      <c r="A20" s="22"/>
      <c r="B20" s="15"/>
      <c r="C20" s="15"/>
      <c r="D20" s="15"/>
      <c r="E20" s="16"/>
      <c r="F20" s="16"/>
      <c r="G20" s="15"/>
      <c r="H20" s="46"/>
      <c r="I20" s="16"/>
      <c r="J20" s="16"/>
      <c r="K20" s="16"/>
      <c r="L20" s="15"/>
    </row>
    <row r="21" spans="1:12" x14ac:dyDescent="0.2">
      <c r="A21" s="22"/>
      <c r="B21" s="15"/>
      <c r="C21" s="15"/>
      <c r="D21" s="15"/>
      <c r="E21" s="16"/>
      <c r="F21" s="16"/>
      <c r="G21" s="15"/>
      <c r="H21" s="46"/>
      <c r="I21" s="16"/>
      <c r="J21" s="16"/>
      <c r="K21" s="16"/>
      <c r="L21" s="15"/>
    </row>
    <row r="22" spans="1:12" x14ac:dyDescent="0.2">
      <c r="A22" s="22"/>
      <c r="B22" s="15"/>
      <c r="C22" s="15"/>
      <c r="D22" s="15"/>
      <c r="E22" s="16"/>
      <c r="F22" s="16"/>
      <c r="G22" s="15"/>
      <c r="H22" s="46"/>
      <c r="I22" s="16"/>
      <c r="J22" s="16"/>
      <c r="K22" s="16"/>
      <c r="L22" s="15"/>
    </row>
    <row r="23" spans="1:12" x14ac:dyDescent="0.2">
      <c r="A23" s="22"/>
      <c r="B23" s="15"/>
      <c r="C23" s="15"/>
      <c r="D23" s="15"/>
      <c r="E23" s="16"/>
      <c r="F23" s="16"/>
      <c r="G23" s="15"/>
      <c r="H23" s="46"/>
      <c r="I23" s="16"/>
      <c r="J23" s="16"/>
      <c r="K23" s="16"/>
      <c r="L23" s="15"/>
    </row>
    <row r="24" spans="1:12" x14ac:dyDescent="0.2">
      <c r="A24" s="22"/>
      <c r="B24" s="15"/>
      <c r="C24" s="15"/>
      <c r="D24" s="15"/>
      <c r="E24" s="16"/>
      <c r="F24" s="16"/>
      <c r="G24" s="15"/>
      <c r="H24" s="46"/>
      <c r="I24" s="16"/>
      <c r="J24" s="16"/>
      <c r="K24" s="16"/>
      <c r="L24" s="15"/>
    </row>
    <row r="25" spans="1:12" x14ac:dyDescent="0.2">
      <c r="A25" s="22"/>
      <c r="B25" s="15"/>
      <c r="C25" s="15"/>
      <c r="D25" s="15"/>
      <c r="E25" s="16"/>
      <c r="F25" s="16"/>
      <c r="G25" s="15"/>
      <c r="H25" s="46"/>
      <c r="I25" s="16"/>
      <c r="J25" s="16"/>
      <c r="K25" s="16"/>
      <c r="L25" s="15"/>
    </row>
    <row r="26" spans="1:12" x14ac:dyDescent="0.2">
      <c r="A26" s="22"/>
      <c r="B26" s="15"/>
      <c r="C26" s="15"/>
      <c r="D26" s="15"/>
      <c r="E26" s="16"/>
      <c r="F26" s="16"/>
      <c r="G26" s="15"/>
      <c r="H26" s="46"/>
      <c r="I26" s="16"/>
      <c r="J26" s="16"/>
      <c r="K26" s="16"/>
      <c r="L26" s="15"/>
    </row>
    <row r="27" spans="1:12" x14ac:dyDescent="0.2">
      <c r="A27" s="22"/>
      <c r="B27" s="15"/>
      <c r="C27" s="15"/>
      <c r="D27" s="15"/>
      <c r="E27" s="16"/>
      <c r="F27" s="16"/>
      <c r="G27" s="15"/>
      <c r="H27" s="46"/>
      <c r="I27" s="16"/>
      <c r="J27" s="16"/>
      <c r="K27" s="16"/>
      <c r="L27" s="37"/>
    </row>
    <row r="28" spans="1:12" x14ac:dyDescent="0.2">
      <c r="A28" s="22"/>
      <c r="B28" s="15"/>
      <c r="C28" s="15"/>
      <c r="D28" s="15"/>
      <c r="E28" s="16"/>
      <c r="F28" s="16"/>
      <c r="G28" s="15"/>
      <c r="H28" s="46"/>
      <c r="I28" s="16"/>
      <c r="J28" s="16"/>
      <c r="K28" s="16"/>
      <c r="L28" s="55"/>
    </row>
    <row r="29" spans="1:12" x14ac:dyDescent="0.2">
      <c r="A29" s="15"/>
      <c r="B29" s="15"/>
      <c r="D29" s="15"/>
      <c r="E29" s="16"/>
      <c r="F29" s="16"/>
      <c r="G29" s="15"/>
      <c r="H29" s="63"/>
      <c r="I29" s="16"/>
      <c r="J29" s="15"/>
      <c r="K29" s="16"/>
      <c r="L29" s="52"/>
    </row>
    <row r="30" spans="1:12" x14ac:dyDescent="0.2">
      <c r="A30" s="15"/>
      <c r="B30" s="15"/>
      <c r="C30" s="15"/>
      <c r="D30" s="15"/>
      <c r="E30" s="16"/>
      <c r="F30" s="16"/>
      <c r="G30" s="15"/>
      <c r="H30" s="63"/>
      <c r="I30" s="16"/>
      <c r="J30" s="15"/>
      <c r="K30" s="16"/>
      <c r="L30" s="52"/>
    </row>
    <row r="31" spans="1:12" x14ac:dyDescent="0.2">
      <c r="A31" s="18"/>
      <c r="B31" s="18"/>
      <c r="C31" s="18"/>
      <c r="D31" s="18"/>
      <c r="E31" s="19"/>
      <c r="F31" s="19"/>
      <c r="G31" s="18"/>
      <c r="H31" s="64"/>
      <c r="I31" s="19"/>
      <c r="J31" s="18"/>
      <c r="K31" s="19"/>
      <c r="L31" s="53"/>
    </row>
  </sheetData>
  <mergeCells count="20">
    <mergeCell ref="I11:I13"/>
    <mergeCell ref="J11:J13"/>
    <mergeCell ref="K11:K13"/>
    <mergeCell ref="L11:L13"/>
    <mergeCell ref="G11:G13"/>
    <mergeCell ref="H11:H13"/>
    <mergeCell ref="A1:L1"/>
    <mergeCell ref="B3:C3"/>
    <mergeCell ref="B4:C4"/>
    <mergeCell ref="A9:A10"/>
    <mergeCell ref="B9:B10"/>
    <mergeCell ref="C9:C10"/>
    <mergeCell ref="F9:F10"/>
    <mergeCell ref="K9:K10"/>
    <mergeCell ref="L9:L10"/>
    <mergeCell ref="A11:A13"/>
    <mergeCell ref="B11:B13"/>
    <mergeCell ref="D11:D13"/>
    <mergeCell ref="E11:E13"/>
    <mergeCell ref="F11:F13"/>
  </mergeCells>
  <printOptions horizontalCentered="1"/>
  <pageMargins left="0.35433070866141736" right="0.27559055118110237" top="0.44" bottom="0.5" header="0.31496062992125984" footer="0.31496062992125984"/>
  <pageSetup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29</vt:i4>
      </vt:variant>
    </vt:vector>
  </HeadingPairs>
  <TitlesOfParts>
    <vt:vector size="29" baseType="lpstr">
      <vt:lpstr>ตัวอย่าง</vt:lpstr>
      <vt:lpstr>001-อาคาร ศสข.4(นม)</vt:lpstr>
      <vt:lpstr>001-2</vt:lpstr>
      <vt:lpstr>002</vt:lpstr>
      <vt:lpstr>002-2</vt:lpstr>
      <vt:lpstr>003</vt:lpstr>
      <vt:lpstr>004</vt:lpstr>
      <vt:lpstr>005</vt:lpstr>
      <vt:lpstr>006</vt:lpstr>
      <vt:lpstr>007-รถยนต์</vt:lpstr>
      <vt:lpstr>007-2</vt:lpstr>
      <vt:lpstr>008</vt:lpstr>
      <vt:lpstr>008-2</vt:lpstr>
      <vt:lpstr>009</vt:lpstr>
      <vt:lpstr>009-2</vt:lpstr>
      <vt:lpstr>010</vt:lpstr>
      <vt:lpstr>010-2</vt:lpstr>
      <vt:lpstr>011-Gen</vt:lpstr>
      <vt:lpstr>012</vt:lpstr>
      <vt:lpstr>012-2</vt:lpstr>
      <vt:lpstr>013-วิทยุ</vt:lpstr>
      <vt:lpstr>014</vt:lpstr>
      <vt:lpstr>015</vt:lpstr>
      <vt:lpstr>016-คอม</vt:lpstr>
      <vt:lpstr>017</vt:lpstr>
      <vt:lpstr>018-AIR</vt:lpstr>
      <vt:lpstr>019</vt:lpstr>
      <vt:lpstr>020</vt:lpstr>
      <vt:lpstr>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วารินทร์ ประเสริฐนู</dc:creator>
  <cp:lastModifiedBy>USER</cp:lastModifiedBy>
  <cp:lastPrinted>2024-10-03T07:21:25Z</cp:lastPrinted>
  <dcterms:created xsi:type="dcterms:W3CDTF">2024-09-19T02:37:10Z</dcterms:created>
  <dcterms:modified xsi:type="dcterms:W3CDTF">2024-10-08T07:16:37Z</dcterms:modified>
</cp:coreProperties>
</file>